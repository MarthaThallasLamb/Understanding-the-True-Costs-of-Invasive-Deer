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autoCompressPictures="0" defaultThemeVersion="166925"/>
  <mc:AlternateContent xmlns:mc="http://schemas.openxmlformats.org/markup-compatibility/2006">
    <mc:Choice Requires="x15">
      <x15ac:absPath xmlns:x15ac="http://schemas.microsoft.com/office/spreadsheetml/2010/11/ac" url="https://flinders-my.sharepoint.com/personal/thal0026_flinders_edu_au/Documents/Honours Project/Honours Writing/Code and data/Honours project cost analyses/Data synthesis/Additional data/Code for analyses/Documents to upload for github/"/>
    </mc:Choice>
  </mc:AlternateContent>
  <xr:revisionPtr revIDLastSave="73" documentId="8_{B3ECC615-A8B9-46AA-9DF4-16244DBF0F5E}" xr6:coauthVersionLast="47" xr6:coauthVersionMax="47" xr10:uidLastSave="{F744F1D6-7BD7-4732-BED5-6697139342E2}"/>
  <bookViews>
    <workbookView xWindow="-120" yWindow="-120" windowWidth="20730" windowHeight="11040" firstSheet="1" activeTab="2" xr2:uid="{00000000-000D-0000-FFFF-FFFF00000000}"/>
  </bookViews>
  <sheets>
    <sheet name="Notes to use the template" sheetId="6" r:id="rId1"/>
    <sheet name="InformationCategories" sheetId="7" r:id="rId2"/>
    <sheet name="InvaCost" sheetId="1" r:id="rId3"/>
    <sheet name="TAXONOMY" sheetId="4" state="hidden" r:id="rId4"/>
    <sheet name="Terminology" sheetId="2" state="hidden" r:id="rId5"/>
    <sheet name="Lists_Taxonomy" sheetId="3" state="hidden" r:id="rId6"/>
    <sheet name="PivotTableTax" sheetId="5" state="hidden" r:id="rId7"/>
  </sheets>
  <definedNames>
    <definedName name="_xlnm._FilterDatabase" localSheetId="2" hidden="1">InvaCost!$A$1:$BN$1</definedName>
    <definedName name="_xlnm._FilterDatabase" localSheetId="3" hidden="1">TAXONOMY!$A$1:$H$704</definedName>
    <definedName name="_xlnm._FilterDatabase" localSheetId="4" hidden="1">Terminology!$A$1:$F$267</definedName>
    <definedName name="_xleta.N" hidden="1" xlm="1">#NAME?</definedName>
    <definedName name="_xleta.SUM" hidden="1" xlm="1">#NAME?</definedName>
    <definedName name="Accipitriformes">Lists_Taxonomy!$B$281</definedName>
    <definedName name="Actinopterygii">Lists_Taxonomy!$B$72:$B$79</definedName>
    <definedName name="Aeromonadales">Lists_Taxonomy!$C$139</definedName>
    <definedName name="Agaricomycetes">Lists_Taxonomy!$E$64</definedName>
    <definedName name="Alismatales">Lists_Taxonomy!$F$139:$F$140</definedName>
    <definedName name="Amphibia">Lists_Taxonomy!$B$82</definedName>
    <definedName name="Animalia">Lists_Taxonomy!$B$2:$B$9</definedName>
    <definedName name="Annelida">Lists_Taxonomy!$B$11</definedName>
    <definedName name="Anseriformes">Lists_Taxonomy!$B$284</definedName>
    <definedName name="Anura">Lists_Taxonomy!$B$274:$B$278</definedName>
    <definedName name="Aphelenchida">Lists_Taxonomy!$B$396:$B$397</definedName>
    <definedName name="Apiales">Lists_Taxonomy!$F$167:$F$168</definedName>
    <definedName name="Arachnida">Lists_Taxonomy!$B$47:$B$49</definedName>
    <definedName name="Architaenioglossa">Lists_Taxonomy!$B$388</definedName>
    <definedName name="Arecales">Lists_Taxonomy!$F$143</definedName>
    <definedName name="Arthropoda">Lists_Taxonomy!$B$16:$B$20</definedName>
    <definedName name="Artiodactyla">Lists_Taxonomy!$B$313:$B$316</definedName>
    <definedName name="Ascomycota">Lists_Taxonomy!$E$11:$E$13</definedName>
    <definedName name="Asparagales">Lists_Taxonomy!$F$146:$F$148</definedName>
    <definedName name="Asterales">Lists_Taxonomy!$F$171:$F$172</definedName>
    <definedName name="Aves">Lists_Taxonomy!$B$85:$B$92</definedName>
    <definedName name="Bacillariophyceae">Lists_Taxonomy!$D$47</definedName>
    <definedName name="Bacteria">Lists_Taxonomy!$C$2</definedName>
    <definedName name="Basidiomycota">Lists_Taxonomy!$E$16:$E$19</definedName>
    <definedName name="Bivalvia">Lists_Taxonomy!$B$116:$B$120</definedName>
    <definedName name="Blattodea">Lists_Taxonomy!$B$154:$B$156</definedName>
    <definedName name="Boraginales">Lists_Taxonomy!$F$175</definedName>
    <definedName name="Branchiopoda">Lists_Taxonomy!$B$52</definedName>
    <definedName name="Bryopsidales">Lists_Taxonomy!$F$136</definedName>
    <definedName name="Burkholderiales">Lists_Taxonomy!$C$136</definedName>
    <definedName name="Carnivora">Lists_Taxonomy!$B$319:$B$324</definedName>
    <definedName name="Caryophyllales">Lists_Taxonomy!$F$178:$F$185</definedName>
    <definedName name="Cephalaspidomorphi">Lists_Taxonomy!$B$95</definedName>
    <definedName name="Chlorophyta">Lists_Taxonomy!$F$11</definedName>
    <definedName name="Chordata">Lists_Taxonomy!$B$23:$B$28</definedName>
    <definedName name="Chromista">Lists_Taxonomy!$D$2:$D$4</definedName>
    <definedName name="Chytridiales">Lists_Taxonomy!$E$170</definedName>
    <definedName name="Chytridiomycetes">Lists_Taxonomy!$E$78</definedName>
    <definedName name="Chytridiomycota">Lists_Taxonomy!$E$23</definedName>
    <definedName name="Coleoptera">Lists_Taxonomy!$B$159:$B$171</definedName>
    <definedName name="Columbiformes">Lists_Taxonomy!$B$287</definedName>
    <definedName name="Commelinales">Lists_Taxonomy!$F$151:$F$152</definedName>
    <definedName name="Ctenophora">Lists_Taxonomy!$B$31</definedName>
    <definedName name="Cymbellales">Lists_Taxonomy!$D$139</definedName>
    <definedName name="Cypriniformes">Lists_Taxonomy!$B$240:$B$241</definedName>
    <definedName name="Cyprinodontiformes">Lists_Taxonomy!$B$244:$B$245</definedName>
    <definedName name="Decapoda">Lists_Taxonomy!$B$230:$B$234</definedName>
    <definedName name="Diaporthales">Lists_Taxonomy!$E$142</definedName>
    <definedName name="Dioscoreales">Lists_Taxonomy!$F$155</definedName>
    <definedName name="Diplostraca">Lists_Taxonomy!$B$151</definedName>
    <definedName name="Diprotodontia">Lists_Taxonomy!$B$327:$B$328</definedName>
    <definedName name="Dipsacales">Lists_Taxonomy!$F$188</definedName>
    <definedName name="Diptera">Lists_Taxonomy!$B$174:$B$181</definedName>
    <definedName name="Divers\Unspecified">Lists_Taxonomy!$G$11</definedName>
    <definedName name="Diverse">Lists_Taxonomy!$G$2</definedName>
    <definedName name="Diverse\Unspecified">Lists_Taxonomy!$G$136</definedName>
    <definedName name="Diverse_Unspecified">Lists_Taxonomy!$G$11</definedName>
    <definedName name="Dothideomycetes">Lists_Taxonomy!$E$44</definedName>
    <definedName name="Enterobacteriales">Lists_Taxonomy!$C$142</definedName>
    <definedName name="Ericales">Lists_Taxonomy!$F$191:$F$193</definedName>
    <definedName name="Erinaceomorpha">Lists_Taxonomy!$B$331</definedName>
    <definedName name="Esociformes">Lists_Taxonomy!$B$248</definedName>
    <definedName name="Exobasidiomycetes">Lists_Taxonomy!$E$68</definedName>
    <definedName name="Fabales">Lists_Taxonomy!$F$196</definedName>
    <definedName name="Fagales">Lists_Taxonomy!$F$199:$F$200</definedName>
    <definedName name="Fungi">Lists_Taxonomy!$E$2:$E$4</definedName>
    <definedName name="Galliformes">Lists_Taxonomy!$B$290</definedName>
    <definedName name="Gastropoda">Lists_Taxonomy!$B$123:$B$124</definedName>
    <definedName name="Gentianales">Lists_Taxonomy!$F$203</definedName>
    <definedName name="Geraniales">Lists_Taxonomy!$F$206</definedName>
    <definedName name="Glomerellales">Lists_Taxonomy!$E$145</definedName>
    <definedName name="Gruiformes">Lists_Taxonomy!$B$293</definedName>
    <definedName name="Gyrodactylidea">Lists_Taxonomy!$B$412</definedName>
    <definedName name="Haptophyta">Lists_Taxonomy!$D$11</definedName>
    <definedName name="Helotiales">Lists_Taxonomy!$E$139</definedName>
    <definedName name="Hemiptera">Lists_Taxonomy!$B$184:$B$197</definedName>
    <definedName name="Hymenoptera">Lists_Taxonomy!$B$200:$B$205</definedName>
    <definedName name="Hypocreales">Lists_Taxonomy!$E$148</definedName>
    <definedName name="Insecta">Lists_Taxonomy!$B$55:$B$62</definedName>
    <definedName name="Ixodida">Lists_Taxonomy!$B$139</definedName>
    <definedName name="Kingdom">Lists_Taxonomy!$A$2:$A$7</definedName>
    <definedName name="Lagomorpha">Lists_Taxonomy!$B$334</definedName>
    <definedName name="Lamiales">Lists_Taxonomy!$F$209:$F$214</definedName>
    <definedName name="Laminariales">Lists_Taxonomy!$D$142</definedName>
    <definedName name="Laurales">Lists_Taxonomy!$F$217</definedName>
    <definedName name="Leotiomycetes">Lists_Taxonomy!$E$47</definedName>
    <definedName name="Lepidoptera">Lists_Taxonomy!$B$208:$B$221</definedName>
    <definedName name="Liliopsida">Lists_Taxonomy!$F$47:$F$53</definedName>
    <definedName name="Lobata">Lists_Taxonomy!$B$368</definedName>
    <definedName name="Magnoliopsida">Lists_Taxonomy!$F$58:$F$82</definedName>
    <definedName name="Malacostraca">Lists_Taxonomy!$B$65</definedName>
    <definedName name="Malpighiales">Lists_Taxonomy!$F$220:$F$222</definedName>
    <definedName name="Malvales">Lists_Taxonomy!$F$225</definedName>
    <definedName name="Mammalia">Lists_Taxonomy!$B$98:$B$105</definedName>
    <definedName name="Maxillopoda">Lists_Taxonomy!$B$68</definedName>
    <definedName name="Mesostigmata">Lists_Taxonomy!$B$142</definedName>
    <definedName name="Microascales">Lists_Taxonomy!$E$151</definedName>
    <definedName name="Mollusca">Lists_Taxonomy!$B$34:$B$35</definedName>
    <definedName name="Monogenea">Lists_Taxonomy!$B$133</definedName>
    <definedName name="Myida">Lists_Taxonomy!$B$372:$B$373</definedName>
    <definedName name="Myrtales">Lists_Taxonomy!$F$228:$F$231</definedName>
    <definedName name="Mytilida">Lists_Taxonomy!$B$376</definedName>
    <definedName name="Nematoda">Lists_Taxonomy!$B$38</definedName>
    <definedName name="Nymphaeales">Lists_Taxonomy!$F$234:$F$235</definedName>
    <definedName name="Ochrophyta">Lists_Taxonomy!$D$16:$D$17</definedName>
    <definedName name="Oomycota">Lists_Taxonomy!$D$23</definedName>
    <definedName name="Ophiostomatales">Lists_Taxonomy!$E$154</definedName>
    <definedName name="Orthoptera">Lists_Taxonomy!$B$224</definedName>
    <definedName name="Ostreida">Lists_Taxonomy!$B$379</definedName>
    <definedName name="Oxalidales">Lists_Taxonomy!$F$238</definedName>
    <definedName name="Passeriformes">Lists_Taxonomy!$B$296:$B$301</definedName>
    <definedName name="Pelecaniformes">Lists_Taxonomy!$B$304</definedName>
    <definedName name="Perciformes">Lists_Taxonomy!$B$251:$B$257</definedName>
    <definedName name="Perissodactyla">Lists_Taxonomy!$B$337</definedName>
    <definedName name="Peronosporales">Lists_Taxonomy!$D$145</definedName>
    <definedName name="Peronosporea">Lists_Taxonomy!$D$55:$D$56</definedName>
    <definedName name="Petromyzontiformes">Lists_Taxonomy!$B$310</definedName>
    <definedName name="Phaeophyceae">Lists_Taxonomy!$D$52</definedName>
    <definedName name="Pinales">Lists_Taxonomy!$F$277:$F$278</definedName>
    <definedName name="Pinopsida">Lists_Taxonomy!$F$85</definedName>
    <definedName name="Piperales">Lists_Taxonomy!$F$241:$F$242</definedName>
    <definedName name="Plantae">Lists_Taxonomy!$F$2:$F$3</definedName>
    <definedName name="Platyhelminthes">Lists_Taxonomy!$B$41</definedName>
    <definedName name="Pleosporales">Lists_Taxonomy!$E$136</definedName>
    <definedName name="Poales">Lists_Taxonomy!$F$158:$F$160</definedName>
    <definedName name="Polychaeta">Lists_Taxonomy!$B$44</definedName>
    <definedName name="Polypodiales">Lists_Taxonomy!$F$281</definedName>
    <definedName name="Polypodiopsida">Lists_Taxonomy!$F$88:$F$89</definedName>
    <definedName name="Primates">Lists_Taxonomy!$B$340</definedName>
    <definedName name="Prostigmata">Lists_Taxonomy!$B$145:$B$148</definedName>
    <definedName name="Proteales">Lists_Taxonomy!$F$245:$F$246</definedName>
    <definedName name="Proteobacteria">Lists_Taxonomy!$C$11:$C$12</definedName>
    <definedName name="Prymnesiales">Lists_Taxonomy!$D$136</definedName>
    <definedName name="Prymnesiophyceae">Lists_Taxonomy!$D$44</definedName>
    <definedName name="Psittaciformes">Lists_Taxonomy!$B$307</definedName>
    <definedName name="Pucciniales">Lists_Taxonomy!$E$163:$E$164</definedName>
    <definedName name="Pucciniomycetes">Lists_Taxonomy!$E$72</definedName>
    <definedName name="Ranunculales">Lists_Taxonomy!$F$249</definedName>
    <definedName name="Reptilia">Lists_Taxonomy!$B$108:$B$109</definedName>
    <definedName name="Rhabditida">Lists_Taxonomy!$B$400</definedName>
    <definedName name="Rodentia">Lists_Taxonomy!$B$343:$B$349</definedName>
    <definedName name="Rosales">Lists_Taxonomy!$F$252:$F$256</definedName>
    <definedName name="Russulales">Lists_Taxonomy!$E$157</definedName>
    <definedName name="Sabellida">Lists_Taxonomy!$B$136</definedName>
    <definedName name="Salmoniformes">Lists_Taxonomy!$B$260</definedName>
    <definedName name="Salviniales">Lists_Taxonomy!$F$284</definedName>
    <definedName name="Sapindales">Lists_Taxonomy!$F$259:$F$263</definedName>
    <definedName name="Saprolegniales">Lists_Taxonomy!$D$148</definedName>
    <definedName name="Saxifragales">Lists_Taxonomy!$F$266:$F$267</definedName>
    <definedName name="Scorpaeniformes">Lists_Taxonomy!$B$263</definedName>
    <definedName name="Secernentea">Lists_Taxonomy!$B$127:$B$130</definedName>
    <definedName name="Sessilia">Lists_Taxonomy!$B$237</definedName>
    <definedName name="Siluriformes">Lists_Taxonomy!$B$266:$B$268</definedName>
    <definedName name="Solanales">Lists_Taxonomy!$F$270:$F$271</definedName>
    <definedName name="Sordariomycetes">Lists_Taxonomy!$E$52:$E$56</definedName>
    <definedName name="SpeciesName">TAXONOMY!$A$2:$A$702</definedName>
    <definedName name="Spirurida">Lists_Taxonomy!$B$403</definedName>
    <definedName name="Squamata">Lists_Taxonomy!$B$352:$B$358</definedName>
    <definedName name="Stylommatophora">Lists_Taxonomy!$B$391:$B$393</definedName>
    <definedName name="Testudines">Lists_Taxonomy!$B$361:$B$364</definedName>
    <definedName name="Tetraodontiformes">Lists_Taxonomy!$B$271</definedName>
    <definedName name="Thysanoptera">Lists_Taxonomy!$B$227</definedName>
    <definedName name="Tilletiales">Lists_Taxonomy!$E$160</definedName>
    <definedName name="Tracheophyta">Lists_Taxonomy!$F$16:$F$19</definedName>
    <definedName name="Tylenchida">Lists_Taxonomy!$B$406:$B$409</definedName>
    <definedName name="Ulvophyceae">Lists_Taxonomy!$F$44</definedName>
    <definedName name="Unionida">Lists_Taxonomy!$B$382</definedName>
    <definedName name="Urocystidales">Lists_Taxonomy!$E$167</definedName>
    <definedName name="Ustilaginomycetes">Lists_Taxonomy!$E$75</definedName>
    <definedName name="ValidationGenus">OFFSET(Terminology!#REF!,,,COUNTIF(Terminology!#REF!,"?*"))</definedName>
    <definedName name="ValidationSpecies">OFFSET(Terminology!#REF!,,,COUNTIF(Terminology!#REF!,"?*"))</definedName>
    <definedName name="Venerida">Lists_Taxonomy!$B$385</definedName>
    <definedName name="Xanthomonadales">Lists_Taxonomy!$C$145</definedName>
    <definedName name="Zingiberales">Lists_Taxonomy!$F$163</definedName>
    <definedName name="Zygophyllales">Lists_Taxonomy!$F$274</definedName>
  </definedNames>
  <calcPr calcId="191028"/>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S29" i="1" l="1"/>
  <c r="AT28" i="1"/>
  <c r="AS28" i="1"/>
  <c r="AT27" i="1"/>
  <c r="AS27" i="1"/>
  <c r="AS15" i="1"/>
  <c r="AS16" i="1"/>
  <c r="AS17" i="1"/>
  <c r="AS18" i="1"/>
  <c r="AS19" i="1"/>
  <c r="AS20" i="1"/>
  <c r="AS21" i="1"/>
  <c r="AS22" i="1"/>
  <c r="AS23" i="1"/>
  <c r="AS24" i="1"/>
  <c r="AS25" i="1"/>
  <c r="AS26"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8" i="1"/>
  <c r="AS9" i="1"/>
  <c r="AS10" i="1"/>
  <c r="AS11" i="1"/>
  <c r="AS12" i="1"/>
  <c r="AS13" i="1"/>
  <c r="AS14" i="1"/>
  <c r="AU29" i="1"/>
  <c r="AT29" i="1"/>
  <c r="AT53" i="1"/>
  <c r="AQ53" i="1"/>
  <c r="AU55" i="1"/>
  <c r="AT55" i="1"/>
  <c r="AR55" i="1"/>
  <c r="AQ55" i="1"/>
  <c r="AU54" i="1"/>
  <c r="AT54" i="1"/>
  <c r="AR54" i="1"/>
  <c r="AQ54" i="1"/>
  <c r="AT52" i="1"/>
  <c r="AQ52" i="1"/>
  <c r="AT51" i="1"/>
  <c r="AQ51" i="1"/>
  <c r="AU50" i="1"/>
  <c r="AT50" i="1"/>
  <c r="AR50" i="1"/>
  <c r="AQ50" i="1"/>
  <c r="AQ48" i="1"/>
  <c r="AR48" i="1"/>
  <c r="AT48" i="1"/>
  <c r="AU48" i="1"/>
  <c r="AQ49" i="1"/>
  <c r="AR49" i="1"/>
  <c r="AT49" i="1"/>
  <c r="AU49" i="1"/>
  <c r="AU47" i="1"/>
  <c r="AT47" i="1"/>
  <c r="AR47" i="1"/>
  <c r="AQ47" i="1"/>
  <c r="AQ46" i="1"/>
  <c r="AT46" i="1"/>
  <c r="AQ44" i="1"/>
  <c r="AT44" i="1"/>
  <c r="AQ45" i="1"/>
  <c r="AT45" i="1"/>
  <c r="AT43" i="1"/>
  <c r="AQ43" i="1"/>
  <c r="AQ32" i="1"/>
  <c r="AR32" i="1"/>
  <c r="AT32" i="1"/>
  <c r="AU32" i="1"/>
  <c r="AQ33" i="1"/>
  <c r="AR33" i="1"/>
  <c r="AT33" i="1"/>
  <c r="AU33" i="1"/>
  <c r="AQ34" i="1"/>
  <c r="AR34" i="1"/>
  <c r="AT34" i="1"/>
  <c r="AU34" i="1"/>
  <c r="AQ35" i="1"/>
  <c r="AR35" i="1"/>
  <c r="AT35" i="1"/>
  <c r="AU35" i="1"/>
  <c r="AQ36" i="1"/>
  <c r="AR36" i="1"/>
  <c r="AT36" i="1"/>
  <c r="AU36" i="1"/>
  <c r="AQ37" i="1"/>
  <c r="AR37" i="1"/>
  <c r="AT37" i="1"/>
  <c r="AU37" i="1"/>
  <c r="AQ38" i="1"/>
  <c r="AR38" i="1"/>
  <c r="AT38" i="1"/>
  <c r="AU38" i="1"/>
  <c r="AQ39" i="1"/>
  <c r="AR39" i="1"/>
  <c r="AT39" i="1"/>
  <c r="AU39" i="1"/>
  <c r="AQ40" i="1"/>
  <c r="AR40" i="1"/>
  <c r="AT40" i="1"/>
  <c r="AU40" i="1"/>
  <c r="AQ41" i="1"/>
  <c r="AR41" i="1"/>
  <c r="AT41" i="1"/>
  <c r="AU41" i="1"/>
  <c r="AQ42" i="1"/>
  <c r="AR42" i="1"/>
  <c r="AT42" i="1"/>
  <c r="AU42" i="1"/>
  <c r="AT31" i="1"/>
  <c r="AQ31" i="1"/>
  <c r="AR29" i="1"/>
  <c r="AQ29" i="1"/>
  <c r="AQ28" i="1"/>
  <c r="AT25" i="1"/>
  <c r="AQ25" i="1"/>
  <c r="AQ14" i="1"/>
  <c r="AR14" i="1"/>
  <c r="AT14" i="1"/>
  <c r="AU14" i="1"/>
  <c r="AQ15" i="1"/>
  <c r="AR15" i="1"/>
  <c r="AT15" i="1"/>
  <c r="AU15" i="1"/>
  <c r="AQ16" i="1"/>
  <c r="AR16" i="1"/>
  <c r="AT16" i="1"/>
  <c r="AU16" i="1"/>
  <c r="AQ17" i="1"/>
  <c r="AR17" i="1"/>
  <c r="AT17" i="1"/>
  <c r="AU17" i="1"/>
  <c r="AQ18" i="1"/>
  <c r="AR18" i="1"/>
  <c r="AT18" i="1"/>
  <c r="AU18" i="1"/>
  <c r="AQ19" i="1"/>
  <c r="AR19" i="1"/>
  <c r="AT19" i="1"/>
  <c r="AU19" i="1"/>
  <c r="AQ20" i="1"/>
  <c r="AR20" i="1"/>
  <c r="AT20" i="1"/>
  <c r="AU20" i="1"/>
  <c r="AQ21" i="1"/>
  <c r="AR21" i="1"/>
  <c r="AT21" i="1"/>
  <c r="AU21" i="1"/>
  <c r="AQ22" i="1"/>
  <c r="AR22" i="1"/>
  <c r="AT22" i="1"/>
  <c r="AU22" i="1"/>
  <c r="AQ23" i="1"/>
  <c r="AR23" i="1"/>
  <c r="AT23" i="1"/>
  <c r="AU23" i="1"/>
  <c r="AT13" i="1"/>
  <c r="AQ13" i="1"/>
  <c r="AQ9" i="1"/>
  <c r="AR9" i="1"/>
  <c r="AT9" i="1"/>
  <c r="AU9" i="1"/>
  <c r="AQ10" i="1"/>
  <c r="AR10" i="1"/>
  <c r="AT10" i="1"/>
  <c r="AU10" i="1"/>
  <c r="AQ11" i="1"/>
  <c r="AR11" i="1"/>
  <c r="AT11" i="1"/>
  <c r="AU11" i="1"/>
  <c r="AQ12" i="1"/>
  <c r="AR12" i="1"/>
  <c r="AT12" i="1"/>
  <c r="AU12" i="1"/>
  <c r="AU8" i="1"/>
  <c r="AT8" i="1"/>
  <c r="AR8" i="1"/>
  <c r="AQ8" i="1"/>
  <c r="AQ4" i="1"/>
  <c r="AR4" i="1"/>
  <c r="AS4" i="1"/>
  <c r="AT4" i="1"/>
  <c r="AU4" i="1"/>
  <c r="AQ5" i="1"/>
  <c r="AR5" i="1"/>
  <c r="AS5" i="1"/>
  <c r="AT5" i="1"/>
  <c r="AU5" i="1"/>
  <c r="AQ6" i="1"/>
  <c r="AR6" i="1"/>
  <c r="AS6" i="1"/>
  <c r="AT6" i="1"/>
  <c r="AU6" i="1"/>
  <c r="AQ7" i="1"/>
  <c r="AR7" i="1"/>
  <c r="AS7" i="1"/>
  <c r="AT7" i="1"/>
  <c r="AU7" i="1"/>
  <c r="AT3" i="1"/>
  <c r="AQ3" i="1"/>
  <c r="AT2" i="1"/>
  <c r="AQ2" i="1"/>
  <c r="AQ27" i="1"/>
  <c r="AT24" i="1"/>
  <c r="AQ24" i="1"/>
  <c r="AR2" i="1"/>
  <c r="AU2" i="1"/>
  <c r="AN3" i="1"/>
  <c r="AR3" i="1"/>
  <c r="AS3" i="1"/>
  <c r="AU3" i="1"/>
  <c r="AN4" i="1"/>
  <c r="AN5" i="1"/>
  <c r="AN6" i="1"/>
  <c r="AN7" i="1"/>
  <c r="AR13" i="1"/>
  <c r="AU13" i="1"/>
  <c r="AR24" i="1"/>
  <c r="AU24" i="1"/>
  <c r="AR25" i="1"/>
  <c r="AU25" i="1"/>
  <c r="AQ26" i="1"/>
  <c r="AR26" i="1"/>
  <c r="AT26" i="1"/>
  <c r="AU26" i="1"/>
  <c r="AN27" i="1"/>
  <c r="AU27" i="1"/>
  <c r="AN28" i="1"/>
  <c r="AN29" i="1"/>
  <c r="AQ30" i="1"/>
  <c r="AR30" i="1"/>
  <c r="AT30" i="1"/>
  <c r="AU30" i="1"/>
  <c r="AN31" i="1"/>
  <c r="AN32" i="1"/>
  <c r="AN33" i="1"/>
  <c r="AN34" i="1"/>
  <c r="AN35" i="1"/>
  <c r="AN36" i="1"/>
  <c r="AN37" i="1"/>
  <c r="AN38" i="1"/>
  <c r="AN39" i="1"/>
  <c r="AN40" i="1"/>
  <c r="AN41" i="1"/>
  <c r="AN42" i="1"/>
  <c r="AN43" i="1"/>
  <c r="AN47" i="1"/>
  <c r="AN48" i="1"/>
  <c r="AN49" i="1"/>
  <c r="AN50" i="1"/>
  <c r="AR51" i="1"/>
  <c r="AU51" i="1"/>
  <c r="AR53" i="1"/>
  <c r="AU53" i="1"/>
  <c r="AR27" i="1" l="1"/>
  <c r="AR31" i="1"/>
  <c r="AU31" i="1"/>
</calcChain>
</file>

<file path=xl/sharedStrings.xml><?xml version="1.0" encoding="utf-8"?>
<sst xmlns="http://schemas.openxmlformats.org/spreadsheetml/2006/main" count="12173" uniqueCount="3082">
  <si>
    <t>Cost_ID</t>
  </si>
  <si>
    <t>Repository</t>
  </si>
  <si>
    <t>Reference_ID</t>
  </si>
  <si>
    <t>Reference_title</t>
  </si>
  <si>
    <t>Authors</t>
  </si>
  <si>
    <t>Publication_year</t>
  </si>
  <si>
    <t>Type_of_material</t>
  </si>
  <si>
    <t>Previous_materials</t>
  </si>
  <si>
    <t>Availability</t>
  </si>
  <si>
    <t>Kingdom</t>
  </si>
  <si>
    <t>Order</t>
  </si>
  <si>
    <t>Family</t>
  </si>
  <si>
    <t>Genus</t>
  </si>
  <si>
    <t>Species</t>
  </si>
  <si>
    <t>Common_name</t>
  </si>
  <si>
    <t>Environment</t>
  </si>
  <si>
    <t>Geographic_region</t>
  </si>
  <si>
    <t>Official_country</t>
  </si>
  <si>
    <t>Location</t>
  </si>
  <si>
    <t>Spatial_scale</t>
  </si>
  <si>
    <t>Period_of_estimation</t>
  </si>
  <si>
    <t>Time_range</t>
  </si>
  <si>
    <t>Probable_starting_year</t>
  </si>
  <si>
    <t>Probable_ending_year</t>
  </si>
  <si>
    <t>Occurrence</t>
  </si>
  <si>
    <t xml:space="preserve"> Raw_cost_estimate_local_currency </t>
  </si>
  <si>
    <t xml:space="preserve"> Min_Raw_cost_estimate_local_currency </t>
  </si>
  <si>
    <t xml:space="preserve"> Max_Raw_cost_estimate_local_currency </t>
  </si>
  <si>
    <t xml:space="preserve"> Raw_cost_estimate_2017_USD_exchange_rate </t>
  </si>
  <si>
    <t xml:space="preserve"> Raw_cost_estimate_2017_USD_PPP </t>
  </si>
  <si>
    <t>Cost_estimate_per_year_local_currency</t>
  </si>
  <si>
    <t xml:space="preserve"> Cost_estimate_per_year_2017_USD_exchange_rate </t>
  </si>
  <si>
    <t xml:space="preserve"> Cost_estimate_per_year_2017_USD_PPP </t>
  </si>
  <si>
    <t>Currency</t>
  </si>
  <si>
    <t>Applicable_year</t>
  </si>
  <si>
    <t>Type_of_applicable_year</t>
  </si>
  <si>
    <t>Implementation</t>
  </si>
  <si>
    <t>Acquisition_method</t>
  </si>
  <si>
    <t>Impacted_sector</t>
  </si>
  <si>
    <t>Type_of_cost</t>
  </si>
  <si>
    <t>Method_reliability</t>
  </si>
  <si>
    <t>Details</t>
  </si>
  <si>
    <t>Benefit_value(s)</t>
  </si>
  <si>
    <t>Island</t>
  </si>
  <si>
    <t>Habitat</t>
  </si>
  <si>
    <t>protectedArea</t>
  </si>
  <si>
    <t>Abstract</t>
  </si>
  <si>
    <t>Book</t>
  </si>
  <si>
    <t>Book chapter</t>
  </si>
  <si>
    <t>Conference communication</t>
  </si>
  <si>
    <t>Conference paper</t>
  </si>
  <si>
    <t>Conference proceedings</t>
  </si>
  <si>
    <t>Discussion paper</t>
  </si>
  <si>
    <t>Fact sheet</t>
  </si>
  <si>
    <t>Journal article</t>
  </si>
  <si>
    <t>M.Sc. Dissertation</t>
  </si>
  <si>
    <t>Master thesis</t>
  </si>
  <si>
    <t>Newsletter</t>
  </si>
  <si>
    <t>Newspaper</t>
  </si>
  <si>
    <t>Official report</t>
  </si>
  <si>
    <t>Online press release</t>
  </si>
  <si>
    <t>Peer-reviewed article</t>
  </si>
  <si>
    <t>Poster</t>
  </si>
  <si>
    <t>Report</t>
  </si>
  <si>
    <t>Slideshow presentation</t>
  </si>
  <si>
    <t>Thesis</t>
  </si>
  <si>
    <t>Unpublished material</t>
  </si>
  <si>
    <t>Unspecified</t>
  </si>
  <si>
    <t>Web page</t>
  </si>
  <si>
    <t>Workshop proceedings</t>
  </si>
  <si>
    <t>Spatial Scale</t>
  </si>
  <si>
    <t>Global</t>
  </si>
  <si>
    <t>Intercontinental</t>
  </si>
  <si>
    <t>Continental</t>
  </si>
  <si>
    <t>Regional</t>
  </si>
  <si>
    <t>Country</t>
  </si>
  <si>
    <t>Site</t>
  </si>
  <si>
    <t>Type of cost</t>
  </si>
  <si>
    <t>Administration</t>
  </si>
  <si>
    <t>Communication/Control/Research</t>
  </si>
  <si>
    <t>Control</t>
  </si>
  <si>
    <t>Control/Damage repair</t>
  </si>
  <si>
    <t>Control/Damage repair/Medical care</t>
  </si>
  <si>
    <t>Control/Damage-Loss</t>
  </si>
  <si>
    <t>Control/Damage-Loss/Damage repair</t>
  </si>
  <si>
    <t>Control/Damage-Loss/Eradication/Prevention</t>
  </si>
  <si>
    <t>Control/Damage-Loss/Eradication/Research</t>
  </si>
  <si>
    <t>Control/Damage-Loss/Monitoring</t>
  </si>
  <si>
    <t>Control/Damage-Loss/Prevention</t>
  </si>
  <si>
    <t>Control/Damage-Loss/Research</t>
  </si>
  <si>
    <t>Control/Detection</t>
  </si>
  <si>
    <t>Control/Detection/Eradication</t>
  </si>
  <si>
    <t>Control/Education</t>
  </si>
  <si>
    <t>Control/Education/Monitoring/Prevention/Research</t>
  </si>
  <si>
    <t>Control/Eradication</t>
  </si>
  <si>
    <t>Control/Eradication/Information/Prevention</t>
  </si>
  <si>
    <t>Control/Eradication/Prevention</t>
  </si>
  <si>
    <t>Control/Eradication/Research</t>
  </si>
  <si>
    <t>Control/Maintenance</t>
  </si>
  <si>
    <t>Control/Medical care</t>
  </si>
  <si>
    <t>Control/Monitoring</t>
  </si>
  <si>
    <t>Control/Prevention</t>
  </si>
  <si>
    <t>Control/Research</t>
  </si>
  <si>
    <t>Control/Research/Surveillance</t>
  </si>
  <si>
    <t>Control/surveillance</t>
  </si>
  <si>
    <t>Damage repair</t>
  </si>
  <si>
    <t>Damage-Loss</t>
  </si>
  <si>
    <t>Damage-Loss/Eradication</t>
  </si>
  <si>
    <t>Damage-Loss/Management</t>
  </si>
  <si>
    <t>Damage-Loss/Prevention</t>
  </si>
  <si>
    <t>Damage-Loss/Prevention/Research</t>
  </si>
  <si>
    <t xml:space="preserve">Direct medical cost </t>
  </si>
  <si>
    <t>Early detection/Eradication</t>
  </si>
  <si>
    <t>Early detection/Information</t>
  </si>
  <si>
    <t>Early detection/Prevention</t>
  </si>
  <si>
    <t>Education</t>
  </si>
  <si>
    <t>Eradication</t>
  </si>
  <si>
    <t>Eradication/Monitoring</t>
  </si>
  <si>
    <t>Evacuation</t>
  </si>
  <si>
    <t>Funding</t>
  </si>
  <si>
    <t>Harvesting</t>
  </si>
  <si>
    <t>Household use of insecticide</t>
  </si>
  <si>
    <t>Indirect costs (not detailed)</t>
  </si>
  <si>
    <t>Information</t>
  </si>
  <si>
    <t>Management (unspecified)</t>
  </si>
  <si>
    <t>Management/Prevention</t>
  </si>
  <si>
    <t>Medical</t>
  </si>
  <si>
    <t>Medical care</t>
  </si>
  <si>
    <t>Medical care/Indirect cost (not detailed)</t>
  </si>
  <si>
    <t xml:space="preserve">Monitoring </t>
  </si>
  <si>
    <t>Monitoring/Research</t>
  </si>
  <si>
    <t>Out-of-pocket</t>
  </si>
  <si>
    <t>Personal loss</t>
  </si>
  <si>
    <t>Prevention</t>
  </si>
  <si>
    <t>Prevention/Research</t>
  </si>
  <si>
    <t>Prevention/Surveillance</t>
  </si>
  <si>
    <t>Research</t>
  </si>
  <si>
    <t>Risk assessment</t>
  </si>
  <si>
    <t>Surveillance</t>
  </si>
  <si>
    <t>Agriculture</t>
  </si>
  <si>
    <t>Authorities-Stakeholders</t>
  </si>
  <si>
    <t>Fishery</t>
  </si>
  <si>
    <t>Forestry</t>
  </si>
  <si>
    <t>Health</t>
  </si>
  <si>
    <t>Public and social welfare</t>
  </si>
  <si>
    <t>Africa</t>
  </si>
  <si>
    <t>Asia</t>
  </si>
  <si>
    <t>Central America</t>
  </si>
  <si>
    <t>Diverse/Unspecified</t>
  </si>
  <si>
    <t>North America</t>
  </si>
  <si>
    <t>South America</t>
  </si>
  <si>
    <t>Abutilon theophrasti</t>
  </si>
  <si>
    <t>Acacia cyclops</t>
  </si>
  <si>
    <t>Acacia dealbata</t>
  </si>
  <si>
    <t>Acacia mangium</t>
  </si>
  <si>
    <t>Acacia mearnsii</t>
  </si>
  <si>
    <t>Acacia melanoxylon</t>
  </si>
  <si>
    <t>Acacia nilotica</t>
  </si>
  <si>
    <t>Acacia saligna</t>
  </si>
  <si>
    <t>Acaciella angustissima</t>
  </si>
  <si>
    <t>Acanthotomicus sp.</t>
  </si>
  <si>
    <t>Acanthus mollis</t>
  </si>
  <si>
    <t>Acarapis woodi</t>
  </si>
  <si>
    <t>Acer negundo</t>
  </si>
  <si>
    <t>Achatina fulica</t>
  </si>
  <si>
    <t>Acridotheres tristis</t>
  </si>
  <si>
    <t>Adelges piceae</t>
  </si>
  <si>
    <t>Adelges tsugae</t>
  </si>
  <si>
    <t>Aedes aegypti</t>
  </si>
  <si>
    <t>Aedes albopictus</t>
  </si>
  <si>
    <t>Aedes japonicus</t>
  </si>
  <si>
    <t>Aeromonas salmonicida</t>
  </si>
  <si>
    <t>Aeschynomene brasiliana</t>
  </si>
  <si>
    <t>Aeschynomene paniculata</t>
  </si>
  <si>
    <t>Agave americana</t>
  </si>
  <si>
    <t>Agave sisalana</t>
  </si>
  <si>
    <t>Agave tequilana</t>
  </si>
  <si>
    <t>Agrilus planipennis</t>
  </si>
  <si>
    <t>Ailanthus altissima</t>
  </si>
  <si>
    <t>Alburnus alburnus</t>
  </si>
  <si>
    <t>Aleurocanthus woglumi</t>
  </si>
  <si>
    <t>Aloe arborescens</t>
  </si>
  <si>
    <t>Aloe maculata</t>
  </si>
  <si>
    <t>Aloe microstigma</t>
  </si>
  <si>
    <t>Aloe vera</t>
  </si>
  <si>
    <t>Alopochen aegyptiaca</t>
  </si>
  <si>
    <t>Alternanthera philoxeroides</t>
  </si>
  <si>
    <t>Amandava amandava</t>
  </si>
  <si>
    <t>Amauromyza maculosa</t>
  </si>
  <si>
    <t>Ambrosia artemisiifolia</t>
  </si>
  <si>
    <t>Ambrosia polystachya</t>
  </si>
  <si>
    <t>Ameiurus nebulosus</t>
  </si>
  <si>
    <t>Anastrepha fraterculus</t>
  </si>
  <si>
    <t>Anastrepha ludens</t>
  </si>
  <si>
    <t>Andropogon gayanus</t>
  </si>
  <si>
    <t>Anguillicoloides crassus</t>
  </si>
  <si>
    <t>Anolis carolinensis</t>
  </si>
  <si>
    <t>Anolis sagrei</t>
  </si>
  <si>
    <t>Anopheles darlingi</t>
  </si>
  <si>
    <t>Anoplolepis gracilipes</t>
  </si>
  <si>
    <t>Anoplophora chinensis</t>
  </si>
  <si>
    <t>Anoplophora glabripennis</t>
  </si>
  <si>
    <t>Anredera cordifolia</t>
  </si>
  <si>
    <t>Anthemis cotula</t>
  </si>
  <si>
    <t>Anthonomus grandis</t>
  </si>
  <si>
    <t>Aphanomyces astaci</t>
  </si>
  <si>
    <t>Aphelenchoides ritzemabosi</t>
  </si>
  <si>
    <t>Aphis glycines</t>
  </si>
  <si>
    <t>Apis mellifera</t>
  </si>
  <si>
    <t>Aquila chrysaetos</t>
  </si>
  <si>
    <t>Araujia sericifera</t>
  </si>
  <si>
    <t>Arctotheca calendula</t>
  </si>
  <si>
    <t>Arion vulgaris</t>
  </si>
  <si>
    <t>Aristolochia elegans</t>
  </si>
  <si>
    <t>Aristolochia odoratissima</t>
  </si>
  <si>
    <t>Artemisia vulgaris</t>
  </si>
  <si>
    <t>Arthurdendyus triangulatus</t>
  </si>
  <si>
    <t>Artocarpus heterophyllus</t>
  </si>
  <si>
    <t>Arundo donax</t>
  </si>
  <si>
    <t>Aster squamatus</t>
  </si>
  <si>
    <t>Atelerix albiventris</t>
  </si>
  <si>
    <t>Atlantoxerus getulus</t>
  </si>
  <si>
    <t>Atriplex semibaccata</t>
  </si>
  <si>
    <t>Austrocylindropuntia cylindrica</t>
  </si>
  <si>
    <t>Austrocylindropuntia subulata</t>
  </si>
  <si>
    <t>Austropuccinia psidii</t>
  </si>
  <si>
    <t>Azolla filiculoides</t>
  </si>
  <si>
    <t>Baccharis halimifolia</t>
  </si>
  <si>
    <t>Bactrocera cucurbitae</t>
  </si>
  <si>
    <t>Bactrocera dorsalis</t>
  </si>
  <si>
    <t>Bactrocera papayae</t>
  </si>
  <si>
    <t>Bactrocera philippinensis</t>
  </si>
  <si>
    <t>Bactrocera tryoni</t>
  </si>
  <si>
    <t>Balanus improvisus</t>
  </si>
  <si>
    <t>Balclutha rubrostriatus</t>
  </si>
  <si>
    <t>Batrachochytrium dendrobatidis</t>
  </si>
  <si>
    <t>Bemisia tabaci</t>
  </si>
  <si>
    <t>Bidens pilosa</t>
  </si>
  <si>
    <t>Blissus leucopterus</t>
  </si>
  <si>
    <t>Boiga irregularis</t>
  </si>
  <si>
    <t>Bombus terrestris</t>
  </si>
  <si>
    <t>Bostrichus concinnus</t>
  </si>
  <si>
    <t>Brachiaria eminii</t>
  </si>
  <si>
    <t>Brachychiton populneus</t>
  </si>
  <si>
    <t>Branta canadensis</t>
  </si>
  <si>
    <t>Bromus tectorum</t>
  </si>
  <si>
    <t>Brontispa longissima</t>
  </si>
  <si>
    <t>Bruchus pisorum</t>
  </si>
  <si>
    <t>Bryophyllum houghtonii</t>
  </si>
  <si>
    <t>Bubalus bubalis</t>
  </si>
  <si>
    <t>Buddleja davidii</t>
  </si>
  <si>
    <t>Bursaphelenchus mucronatus</t>
  </si>
  <si>
    <t>Bythotrephes cederstroemi</t>
  </si>
  <si>
    <t>Bythotrephes longimanus</t>
  </si>
  <si>
    <t>Cabomba caroliniana</t>
  </si>
  <si>
    <t>Cactoblastis cactorum</t>
  </si>
  <si>
    <t>Caesalpinia decapetala</t>
  </si>
  <si>
    <t>Calandra obscura</t>
  </si>
  <si>
    <t>Callinectes sapidus</t>
  </si>
  <si>
    <t>Callistemon sp.</t>
  </si>
  <si>
    <t>Callosciurus erythraeus</t>
  </si>
  <si>
    <t>Callosobruchus sp.</t>
  </si>
  <si>
    <t>Calotropis procera</t>
  </si>
  <si>
    <t>Camelus dromedarius</t>
  </si>
  <si>
    <t>Cameraria ohridella</t>
  </si>
  <si>
    <t>Canis lupus</t>
  </si>
  <si>
    <t>Capra hircus</t>
  </si>
  <si>
    <t>Carassius auratus</t>
  </si>
  <si>
    <t>Carpobrotus acinaciformis</t>
  </si>
  <si>
    <t>Carpobrotus edulis</t>
  </si>
  <si>
    <t>Castor canadensis</t>
  </si>
  <si>
    <t>Casuarina cunninghamiana</t>
  </si>
  <si>
    <t>Casuarina equisetifolia</t>
  </si>
  <si>
    <t>Caulerpa racemosa</t>
  </si>
  <si>
    <t>Caulerpa taxifolia</t>
  </si>
  <si>
    <t>Cenchrus ciliaris</t>
  </si>
  <si>
    <t>Cenchrus clandestinus</t>
  </si>
  <si>
    <t>Cenchrus longisetus</t>
  </si>
  <si>
    <t>Cenchrus pilosus</t>
  </si>
  <si>
    <t>Cenchrus polystachios</t>
  </si>
  <si>
    <t>Cenchrus setaceus</t>
  </si>
  <si>
    <t>Cenchrus spinifex</t>
  </si>
  <si>
    <t>Centaurea diffusa</t>
  </si>
  <si>
    <t>Centaurea stoebe</t>
  </si>
  <si>
    <t>Ceratitis capitata</t>
  </si>
  <si>
    <t>Ceratocystis platani</t>
  </si>
  <si>
    <t>Cercopagis pengoi</t>
  </si>
  <si>
    <t>Cereus jamacaru</t>
  </si>
  <si>
    <t>Cervus elaphus</t>
  </si>
  <si>
    <t>Cervus nippon</t>
  </si>
  <si>
    <t>Ceutorhynchus obstrictus</t>
  </si>
  <si>
    <t>Channa argus</t>
  </si>
  <si>
    <t>Chasmanthe bicolor</t>
  </si>
  <si>
    <t>Chelydra serpentina</t>
  </si>
  <si>
    <t>Chilo partellus</t>
  </si>
  <si>
    <t>Chilo suppressalis</t>
  </si>
  <si>
    <t>Chlorophytum comosum</t>
  </si>
  <si>
    <t>Choristoneura fumiferana</t>
  </si>
  <si>
    <t>Chromolaena odorata</t>
  </si>
  <si>
    <t>Chrysemys picta</t>
  </si>
  <si>
    <t>Chrysomya bezziana</t>
  </si>
  <si>
    <t>Cinara spp.</t>
  </si>
  <si>
    <t>Cirsium sp.</t>
  </si>
  <si>
    <t>Citharexylum gentryi</t>
  </si>
  <si>
    <t>Citrus aurantium</t>
  </si>
  <si>
    <t>Citrus limon</t>
  </si>
  <si>
    <t>Citrus taitensis</t>
  </si>
  <si>
    <t>Clarias gariepinus</t>
  </si>
  <si>
    <t>Clidemia hirta</t>
  </si>
  <si>
    <t>Cochliomyia hominivorax</t>
  </si>
  <si>
    <t>Colocasia esculenta</t>
  </si>
  <si>
    <t>Colubrina asiatica</t>
  </si>
  <si>
    <t>Columba livia</t>
  </si>
  <si>
    <t>Conyza sp.</t>
  </si>
  <si>
    <t>Coptodon zillii</t>
  </si>
  <si>
    <t>Coptotermes formosanus</t>
  </si>
  <si>
    <t>Corbicula fluminea</t>
  </si>
  <si>
    <t>Coreopsis lanceolata</t>
  </si>
  <si>
    <t>Cortaderia selloana</t>
  </si>
  <si>
    <t>Corvus splendens</t>
  </si>
  <si>
    <t>Corythucha ciliata</t>
  </si>
  <si>
    <t>Cosmopolites sordidus</t>
  </si>
  <si>
    <t>Crassula helmsii</t>
  </si>
  <si>
    <t>Crematogaster sp.</t>
  </si>
  <si>
    <t>Crocosmia crocosmiiflora</t>
  </si>
  <si>
    <t>Cryptostegia grandiflora</t>
  </si>
  <si>
    <t>Cryptotermes brevis</t>
  </si>
  <si>
    <t>Culex sp.</t>
  </si>
  <si>
    <t>Culicoides imicola</t>
  </si>
  <si>
    <t>Cupressus sempervirens</t>
  </si>
  <si>
    <t>Cydalima perspectalis</t>
  </si>
  <si>
    <t>Cydia pomonella</t>
  </si>
  <si>
    <t>Cygnus atratus</t>
  </si>
  <si>
    <t>Cygnus olor</t>
  </si>
  <si>
    <t>Cylas formicarius</t>
  </si>
  <si>
    <t>Cylindropuntia imbricata</t>
  </si>
  <si>
    <t>Cylindropuntia leptocaulis</t>
  </si>
  <si>
    <t>Cylindropuntia pallida</t>
  </si>
  <si>
    <t>Cylindropuntia rosea</t>
  </si>
  <si>
    <t>Cymbopogon citratus</t>
  </si>
  <si>
    <t>Cyperus alterniflorus</t>
  </si>
  <si>
    <t>Cyprinus carpio</t>
  </si>
  <si>
    <t>Dactylopius opuntiae</t>
  </si>
  <si>
    <t>Daktulosphaira vitifoliae</t>
  </si>
  <si>
    <t>Dama dama</t>
  </si>
  <si>
    <t>Danio rerio</t>
  </si>
  <si>
    <t>Delia spp.</t>
  </si>
  <si>
    <t>Dendroctonus micans</t>
  </si>
  <si>
    <t>Dendroctonus valens</t>
  </si>
  <si>
    <t>Diabrotica barberi</t>
  </si>
  <si>
    <t>Diabrotica undecimpunctata</t>
  </si>
  <si>
    <t>Diabrotica virgifera</t>
  </si>
  <si>
    <t>Diaprepes sp.</t>
  </si>
  <si>
    <t>Diaspidiotus perniciosus</t>
  </si>
  <si>
    <t>Dichrostachys cinerea</t>
  </si>
  <si>
    <t>Didymosphenia geminata</t>
  </si>
  <si>
    <t>Dioscorea bulbifera</t>
  </si>
  <si>
    <t>Diospyros kaki</t>
  </si>
  <si>
    <t>Diploderma swinhonis</t>
  </si>
  <si>
    <t>Disphyma sp.</t>
  </si>
  <si>
    <t>Ditylenchus dipsaci</t>
  </si>
  <si>
    <t>Diuraphis noxia</t>
  </si>
  <si>
    <t>Dreissena bugensis</t>
  </si>
  <si>
    <t>Dreissena polymorpha</t>
  </si>
  <si>
    <t>Drosanthemum floribundum</t>
  </si>
  <si>
    <t>Drosophila suzukii</t>
  </si>
  <si>
    <t>Drosophyllum sp.</t>
  </si>
  <si>
    <t>Dryocosmus kuriphilus</t>
  </si>
  <si>
    <t>Echium vulgare</t>
  </si>
  <si>
    <t>Egeria densa</t>
  </si>
  <si>
    <t>Eichhornia crassipes</t>
  </si>
  <si>
    <t>Elaeagnus angustifolia</t>
  </si>
  <si>
    <t>Elaeis guineensis</t>
  </si>
  <si>
    <t>Elatobium abietinum</t>
  </si>
  <si>
    <t>Eleutherodactylus coqui</t>
  </si>
  <si>
    <t>Elodea canadensis</t>
  </si>
  <si>
    <t>Elodea nuttallii</t>
  </si>
  <si>
    <t>Eoreuma loftini</t>
  </si>
  <si>
    <t>Ephestia kuehniella</t>
  </si>
  <si>
    <t>Epiphyas postvittana</t>
  </si>
  <si>
    <t>Epitrix tuberis</t>
  </si>
  <si>
    <t>Equus asinus</t>
  </si>
  <si>
    <t>Equus caballus</t>
  </si>
  <si>
    <t>Eragrostis plana</t>
  </si>
  <si>
    <t>Erigeron canadensis</t>
  </si>
  <si>
    <t>Erinaceus europaeus</t>
  </si>
  <si>
    <t>Eriocheir sinensis</t>
  </si>
  <si>
    <t>Erionota thrax</t>
  </si>
  <si>
    <t>Eriosoma lanigerum</t>
  </si>
  <si>
    <t>Erwinia amylovora</t>
  </si>
  <si>
    <t>Erythrocebus patas</t>
  </si>
  <si>
    <t>Esox lucius</t>
  </si>
  <si>
    <t>Estrilda astrild</t>
  </si>
  <si>
    <t>Eucalyptus camaldulensis</t>
  </si>
  <si>
    <t>Eucalyptus globulus</t>
  </si>
  <si>
    <t>Eucalyptus spp.</t>
  </si>
  <si>
    <t>Eupatorium adenophorum</t>
  </si>
  <si>
    <t>Euphorbia esula</t>
  </si>
  <si>
    <t>Euphorbia stenoclada</t>
  </si>
  <si>
    <t>Eutetranychus orientalis</t>
  </si>
  <si>
    <t>Euwallacea sp.</t>
  </si>
  <si>
    <t>Felis catus</t>
  </si>
  <si>
    <t>Ficopomatus enigmaticus</t>
  </si>
  <si>
    <t>Flemingia strobilifera</t>
  </si>
  <si>
    <t>Frankliniella occidentalis</t>
  </si>
  <si>
    <t>Frankliniella schultzei</t>
  </si>
  <si>
    <t>Fraxinus floribunda</t>
  </si>
  <si>
    <t>Freesia alba</t>
  </si>
  <si>
    <t>Freesia refracta</t>
  </si>
  <si>
    <t>Fundulus heteroclitus</t>
  </si>
  <si>
    <t>Furcraea foetida</t>
  </si>
  <si>
    <t>Fusarium oxysporum</t>
  </si>
  <si>
    <t>Gallirallus australis</t>
  </si>
  <si>
    <t>Gambusia holbrooki</t>
  </si>
  <si>
    <t>Gazania sp.</t>
  </si>
  <si>
    <t>Genetta genetta</t>
  </si>
  <si>
    <t>Gleditsia triacanthos</t>
  </si>
  <si>
    <t>Glis glis</t>
  </si>
  <si>
    <t>Gomphocarpus sp.</t>
  </si>
  <si>
    <t>Gonipterus scutellatus</t>
  </si>
  <si>
    <t>Grapholita molesta</t>
  </si>
  <si>
    <t>Grapholita prunivora</t>
  </si>
  <si>
    <t>Graptemys ouachitensis</t>
  </si>
  <si>
    <t>Graptemys pseudogeographica</t>
  </si>
  <si>
    <t>Gymnocephalus cernua</t>
  </si>
  <si>
    <t>Gymnocoronis spilanthoides</t>
  </si>
  <si>
    <t>Gyrodactylus salaris</t>
  </si>
  <si>
    <t>Haematobia irritans</t>
  </si>
  <si>
    <t>Hakea sericea</t>
  </si>
  <si>
    <t>Halotydeus destructor</t>
  </si>
  <si>
    <t>Halyomorpha halys</t>
  </si>
  <si>
    <t>Harmonia axyridis</t>
  </si>
  <si>
    <t>Haworthiopsis attenuata</t>
  </si>
  <si>
    <t>Hedychium gardnerianum</t>
  </si>
  <si>
    <t>Helianthus ciliaris</t>
  </si>
  <si>
    <t>Helianthus tuberosus</t>
  </si>
  <si>
    <t>Helichrysum petiolare</t>
  </si>
  <si>
    <t>Helicoverpa armigera</t>
  </si>
  <si>
    <t>Helicoverpa zea</t>
  </si>
  <si>
    <t>Helix lucorum</t>
  </si>
  <si>
    <t>Hemiberlesia pitysophila</t>
  </si>
  <si>
    <t>Hemitragus jemlahicus</t>
  </si>
  <si>
    <t>Hemorrhois hippocrepis</t>
  </si>
  <si>
    <t>Henosepilachna vigintioctomaculata</t>
  </si>
  <si>
    <t>Heracleum mantegazzianum</t>
  </si>
  <si>
    <t>Heracleum persicum</t>
  </si>
  <si>
    <t>Heracleum sosnowskyi</t>
  </si>
  <si>
    <t>Herpestes edwardsi</t>
  </si>
  <si>
    <t>Herpestes javanicus</t>
  </si>
  <si>
    <t>Heterobasidion annosum</t>
  </si>
  <si>
    <t>Heterodera avenae</t>
  </si>
  <si>
    <t>Hieracium sp.</t>
  </si>
  <si>
    <t>Homalodisca vitripennis</t>
  </si>
  <si>
    <t>Humulopsis scandens</t>
  </si>
  <si>
    <t>Hyblaea puera</t>
  </si>
  <si>
    <t>Hydrangea sp.</t>
  </si>
  <si>
    <t>Hydrilla verticillata</t>
  </si>
  <si>
    <t>Hydrocotyle ranunculoides</t>
  </si>
  <si>
    <t>Hydropotes inermis</t>
  </si>
  <si>
    <t>Hymenachne amplexicaulis</t>
  </si>
  <si>
    <t>Hymenachne spp.</t>
  </si>
  <si>
    <t>Hypera postica</t>
  </si>
  <si>
    <t>Hyphantria cunea</t>
  </si>
  <si>
    <t>Hystrix brachyura</t>
  </si>
  <si>
    <t>Iguana iguana</t>
  </si>
  <si>
    <t>Impatiens balfourii</t>
  </si>
  <si>
    <t>Impatiens glandulifera</t>
  </si>
  <si>
    <t>Indigofera schimperi</t>
  </si>
  <si>
    <t>Ipomoea hederacea</t>
  </si>
  <si>
    <t>Ipomoea lacunosa</t>
  </si>
  <si>
    <t>Ips calligraphus</t>
  </si>
  <si>
    <t>Ips pini</t>
  </si>
  <si>
    <t>Ips typographus</t>
  </si>
  <si>
    <t>Iva axillaris</t>
  </si>
  <si>
    <t>Jacobaea maritima</t>
  </si>
  <si>
    <t>Jatropha gossypiifolia</t>
  </si>
  <si>
    <t>Kalanchoe daigremontiana</t>
  </si>
  <si>
    <t>Keiferia lycopersicella</t>
  </si>
  <si>
    <t>Lacerta bilineata</t>
  </si>
  <si>
    <t>Lachnellula chrysophthalma</t>
  </si>
  <si>
    <t>Lagarosiphon major</t>
  </si>
  <si>
    <t>Lagocephalus sceleratus</t>
  </si>
  <si>
    <t>Lampropeltis californiae</t>
  </si>
  <si>
    <t>Lantana camara</t>
  </si>
  <si>
    <t>Lantana montevidensis</t>
  </si>
  <si>
    <t>Larix spp.</t>
  </si>
  <si>
    <t>Lasius neglectus</t>
  </si>
  <si>
    <t>Lepomis gibbosus</t>
  </si>
  <si>
    <t>Lepomis macrochirus</t>
  </si>
  <si>
    <t>Leptinotarsa decemlineata</t>
  </si>
  <si>
    <t>Leptoglossus occidentalis</t>
  </si>
  <si>
    <t>Leucaena leucocephala</t>
  </si>
  <si>
    <t>Ligustrum japonicum</t>
  </si>
  <si>
    <t>Ligustrum lucidum</t>
  </si>
  <si>
    <t>Ligustrum robustum</t>
  </si>
  <si>
    <t>Limnoperna fortunei</t>
  </si>
  <si>
    <t>Linepithema humile</t>
  </si>
  <si>
    <t>Liriomyza huidobrensis</t>
  </si>
  <si>
    <t>Liriomyza sativae</t>
  </si>
  <si>
    <t>Liriomyza trifolii</t>
  </si>
  <si>
    <t>Lissorhoptrus brevirostris</t>
  </si>
  <si>
    <t>Lissorhoptrus oryzophilus</t>
  </si>
  <si>
    <t>Listronotus bonariensis</t>
  </si>
  <si>
    <t>Lithobates catesbeianus</t>
  </si>
  <si>
    <t>Lobesia botrana</t>
  </si>
  <si>
    <t>Lonicera japonica</t>
  </si>
  <si>
    <t>Ludwigia grandiflora</t>
  </si>
  <si>
    <t>Ludwigia peploides</t>
  </si>
  <si>
    <t>Ludwigia repens</t>
  </si>
  <si>
    <t>Lupinus perennis</t>
  </si>
  <si>
    <t>Lupinus polyphyllus</t>
  </si>
  <si>
    <t>Lycium barbarum</t>
  </si>
  <si>
    <t>Lymantria dispar</t>
  </si>
  <si>
    <t>Lymantria monacha</t>
  </si>
  <si>
    <t>Lysichiton americanus</t>
  </si>
  <si>
    <t>Lythrum salicaria</t>
  </si>
  <si>
    <t>Macaca mulatta</t>
  </si>
  <si>
    <t>Maconellicoccus hirsutus</t>
  </si>
  <si>
    <t>Magallana gigas</t>
  </si>
  <si>
    <t>Malephora crocea</t>
  </si>
  <si>
    <t>Malpolon monspessulanus</t>
  </si>
  <si>
    <t>Matsucoccus matsumurae</t>
  </si>
  <si>
    <t>Mauremys reevesii</t>
  </si>
  <si>
    <t>Mauremys sinensis</t>
  </si>
  <si>
    <t>Melaleuca quinquenervia</t>
  </si>
  <si>
    <t>Melanotus communis</t>
  </si>
  <si>
    <t>Meleagris gallopavo</t>
  </si>
  <si>
    <t>Melia azedarach</t>
  </si>
  <si>
    <t>Meloidogyne chitwoodi</t>
  </si>
  <si>
    <t>Mesembryanthemum cordifolium</t>
  </si>
  <si>
    <t>Mesembryanthemum crystallinum</t>
  </si>
  <si>
    <t>Metopolophium dirhodum</t>
  </si>
  <si>
    <t>Miconia calvescens</t>
  </si>
  <si>
    <t>Micropterus dolomieu</t>
  </si>
  <si>
    <t>Micropterus salmoides</t>
  </si>
  <si>
    <t>Mikania micrantha</t>
  </si>
  <si>
    <t>Mimosa pigra</t>
  </si>
  <si>
    <t>Mirabilis jalapa</t>
  </si>
  <si>
    <t>Misgurnus anguillicaudatus</t>
  </si>
  <si>
    <t>Mnemiopsis leidyi</t>
  </si>
  <si>
    <t>Monochamus galloprovincialis</t>
  </si>
  <si>
    <t>Monochamus impluviatus</t>
  </si>
  <si>
    <t>Monochamus nitens</t>
  </si>
  <si>
    <t>Monochamus saltuarius</t>
  </si>
  <si>
    <t>Monochamus scutellatus</t>
  </si>
  <si>
    <t>Monochamus sutor</t>
  </si>
  <si>
    <t>Morone chrysops</t>
  </si>
  <si>
    <t>Morus alba</t>
  </si>
  <si>
    <t>Morus nigra</t>
  </si>
  <si>
    <t>Muntiacus reevesi</t>
  </si>
  <si>
    <t>Mus musculus</t>
  </si>
  <si>
    <t>Mustela erminea</t>
  </si>
  <si>
    <t>Mustela furo</t>
  </si>
  <si>
    <t>Myiopsitta monachus</t>
  </si>
  <si>
    <t>Myocastor coypus</t>
  </si>
  <si>
    <t>Myoporum laetum</t>
  </si>
  <si>
    <t>Myriophyllum aquaticum</t>
  </si>
  <si>
    <t>Myriophyllum spicatum</t>
  </si>
  <si>
    <t>Mytilopsis trautwineana</t>
  </si>
  <si>
    <t>Nasonovia ribisnigri</t>
  </si>
  <si>
    <t>Nassella neesiana</t>
  </si>
  <si>
    <t>Nassella trichotoma</t>
  </si>
  <si>
    <t>Nasua nasua</t>
  </si>
  <si>
    <t>Nasutitermes corniger</t>
  </si>
  <si>
    <t>Neodiprion abietis</t>
  </si>
  <si>
    <t>Neoscapteriscus vicinus</t>
  </si>
  <si>
    <t>Neovison vison</t>
  </si>
  <si>
    <t>Nicotiana glauca</t>
  </si>
  <si>
    <t>Nilaparvata lugens</t>
  </si>
  <si>
    <t>Nyctereutes procyonoides</t>
  </si>
  <si>
    <t>Nymphaea mexicana</t>
  </si>
  <si>
    <t>Nymphoides peltata</t>
  </si>
  <si>
    <t>Oecophylla longinoda</t>
  </si>
  <si>
    <t>Oenothera biennis</t>
  </si>
  <si>
    <t>Oenothera glazioviana</t>
  </si>
  <si>
    <t>Oligonychus metasequoia</t>
  </si>
  <si>
    <t>Oncorhynchus mykiss</t>
  </si>
  <si>
    <t>Ondatra zibethicus</t>
  </si>
  <si>
    <t>Ophiostoma ulmi</t>
  </si>
  <si>
    <t>Opisina arenosella</t>
  </si>
  <si>
    <t>Opuntia aurantiaca</t>
  </si>
  <si>
    <t>Opuntia ficus-indica</t>
  </si>
  <si>
    <t>Opuntia humifusa</t>
  </si>
  <si>
    <t>Opuntia stricta</t>
  </si>
  <si>
    <t>Orconectes limosus</t>
  </si>
  <si>
    <t>Orconectes rusticus</t>
  </si>
  <si>
    <t>Orgyia leucostigma</t>
  </si>
  <si>
    <t>Orgyia pseudotsugata</t>
  </si>
  <si>
    <t>Orgyia thyellina</t>
  </si>
  <si>
    <t>Orobanche spp.</t>
  </si>
  <si>
    <t>Orthriophis taeniurus</t>
  </si>
  <si>
    <t>Oryctolagus cuniculus</t>
  </si>
  <si>
    <t>Oryzaephilus surinamensis</t>
  </si>
  <si>
    <t>Ostrinia nubilalis</t>
  </si>
  <si>
    <t>Ovis ammon</t>
  </si>
  <si>
    <t>Ovis aries</t>
  </si>
  <si>
    <t>Oxalis pes-caprae</t>
  </si>
  <si>
    <t>Oxyura jamaicensis</t>
  </si>
  <si>
    <t>Pacifastacus leniusculus</t>
  </si>
  <si>
    <t>Paguma larvata</t>
  </si>
  <si>
    <t>Panicum maximum</t>
  </si>
  <si>
    <t>Pantoea stewartii</t>
  </si>
  <si>
    <t>Papuana uninodis</t>
  </si>
  <si>
    <t>Parkinsonia aculeata</t>
  </si>
  <si>
    <t>Parlatoria sp.</t>
  </si>
  <si>
    <t>Parthenium hysterophorus</t>
  </si>
  <si>
    <t>Paspalum dilatatum</t>
  </si>
  <si>
    <t>Paspalum distichum</t>
  </si>
  <si>
    <t>Passer domesticus</t>
  </si>
  <si>
    <t>Passiflora tarminiana</t>
  </si>
  <si>
    <t>Paulownia tomentosa</t>
  </si>
  <si>
    <t>Pectinophora gossypiella</t>
  </si>
  <si>
    <t>Pelargonium capitatum</t>
  </si>
  <si>
    <t>Pelodiscus sinensis</t>
  </si>
  <si>
    <t>Perca fluviatilis</t>
  </si>
  <si>
    <t>Perccottus glenii</t>
  </si>
  <si>
    <t>Periploca graeca</t>
  </si>
  <si>
    <t>Perkinsiella saccharicida</t>
  </si>
  <si>
    <t>Persea americana</t>
  </si>
  <si>
    <t>Persicaria perfoliata</t>
  </si>
  <si>
    <t>Petromyzon marinus</t>
  </si>
  <si>
    <t>Phakopsora spp.</t>
  </si>
  <si>
    <t>Phascolarctos cinereus</t>
  </si>
  <si>
    <t>Phasianus colchicus</t>
  </si>
  <si>
    <t>Pheidole megacephala</t>
  </si>
  <si>
    <t>Phenacoccus manihoti</t>
  </si>
  <si>
    <t>Phenacoccus solenopsis</t>
  </si>
  <si>
    <t>Philornis downsi</t>
  </si>
  <si>
    <t>Phoenix canariensis</t>
  </si>
  <si>
    <t>Phomopsis helianthi</t>
  </si>
  <si>
    <t>Phragmites australis</t>
  </si>
  <si>
    <t>Phthorimaea operculella</t>
  </si>
  <si>
    <t>Phyllonorycter issikii</t>
  </si>
  <si>
    <t>Phyllostachys spp.</t>
  </si>
  <si>
    <t>Phyllotreta cruciferae</t>
  </si>
  <si>
    <t>Phytolacca americana</t>
  </si>
  <si>
    <t>Phytophthora fragariae</t>
  </si>
  <si>
    <t>Phytophthora megasperma</t>
  </si>
  <si>
    <t>Pilosella officinarum</t>
  </si>
  <si>
    <t>Pinus caribaea</t>
  </si>
  <si>
    <t>Pinus halepensis</t>
  </si>
  <si>
    <t>Pinus sp.</t>
  </si>
  <si>
    <t>Pinus spp.</t>
  </si>
  <si>
    <t>Pinus taeda</t>
  </si>
  <si>
    <t>Pistia stratiotes</t>
  </si>
  <si>
    <t>Pittosporum tobira</t>
  </si>
  <si>
    <t>Platanus hispanica</t>
  </si>
  <si>
    <t>Ploceus melanocephalus</t>
  </si>
  <si>
    <t>Plutella xylostella</t>
  </si>
  <si>
    <t>Poecilia reticulata</t>
  </si>
  <si>
    <t>Poecilia sphenops</t>
  </si>
  <si>
    <t>Polypedates leucomystax</t>
  </si>
  <si>
    <t>Pomacea canaliculata</t>
  </si>
  <si>
    <t>Pomacea diffusa</t>
  </si>
  <si>
    <t>Pomacea maculata</t>
  </si>
  <si>
    <t>Popillia japonica</t>
  </si>
  <si>
    <t>Populus spp.</t>
  </si>
  <si>
    <t>Pratylenchus sp.</t>
  </si>
  <si>
    <t>Premnotrypes sp</t>
  </si>
  <si>
    <t>Procambarus acutus</t>
  </si>
  <si>
    <t>Procambarus clarkii</t>
  </si>
  <si>
    <t>Procambarus zonangulus</t>
  </si>
  <si>
    <t>Procyon lotor</t>
  </si>
  <si>
    <t>Prosopis sp.</t>
  </si>
  <si>
    <t>Prostephanus truncatus</t>
  </si>
  <si>
    <t>Prunus serotina</t>
  </si>
  <si>
    <t>Pseudaulacaspis pentagona</t>
  </si>
  <si>
    <t>Pseudemys concinna</t>
  </si>
  <si>
    <t>Pseudemys nelsoni</t>
  </si>
  <si>
    <t>Pseudorasbora parva</t>
  </si>
  <si>
    <t>Pseudosesarma moeschii</t>
  </si>
  <si>
    <t>Pseudotsuga menziesii</t>
  </si>
  <si>
    <t>Psittacula krameri</t>
  </si>
  <si>
    <t>Pteridium aquilinum</t>
  </si>
  <si>
    <t>Pterois volitans</t>
  </si>
  <si>
    <t>Pterygoplichthys sp.</t>
  </si>
  <si>
    <t>Puccinia horiana</t>
  </si>
  <si>
    <t>Puccinia recondita</t>
  </si>
  <si>
    <t>Pueraria lobata</t>
  </si>
  <si>
    <t>Pueraria phaseoloides</t>
  </si>
  <si>
    <t>Pycnonotus cafer</t>
  </si>
  <si>
    <t>Pycnonotus jocosus</t>
  </si>
  <si>
    <t>Pycnonotus sinensis</t>
  </si>
  <si>
    <t>Python bivittatus</t>
  </si>
  <si>
    <t>Quercus rubra</t>
  </si>
  <si>
    <t>Radopholus similis</t>
  </si>
  <si>
    <t>Ralstonia solanacearum</t>
  </si>
  <si>
    <t>Rangifer tarandus</t>
  </si>
  <si>
    <t>Ranunculus acris</t>
  </si>
  <si>
    <t>Raoiella indica</t>
  </si>
  <si>
    <t>Rastrococcus invadens</t>
  </si>
  <si>
    <t>Rattus exulans</t>
  </si>
  <si>
    <t>Rattus norvegicus</t>
  </si>
  <si>
    <t>Rattus rattus</t>
  </si>
  <si>
    <t>Rattus tanezumi</t>
  </si>
  <si>
    <t>Reynoutria japonica</t>
  </si>
  <si>
    <t>Rhagoletis completa</t>
  </si>
  <si>
    <t>Rhagoletis indifferens</t>
  </si>
  <si>
    <t>Rhagoletis pomonella</t>
  </si>
  <si>
    <t>Rhinella marina</t>
  </si>
  <si>
    <t>Rhipicephalus microplus</t>
  </si>
  <si>
    <t>Rhododendron ponticum</t>
  </si>
  <si>
    <t>Rhopalosiphum padi</t>
  </si>
  <si>
    <t>Rhynchophorus ferrugineus</t>
  </si>
  <si>
    <t>Rhyzopertha dominica</t>
  </si>
  <si>
    <t>Ricinus communis</t>
  </si>
  <si>
    <t>Robinia pseudoacacia</t>
  </si>
  <si>
    <t>Rubus adenotrichos</t>
  </si>
  <si>
    <t>Rubus alceifolius</t>
  </si>
  <si>
    <t>Rubus constrictus</t>
  </si>
  <si>
    <t>Rubus glaucus</t>
  </si>
  <si>
    <t>Rubus megalococcus</t>
  </si>
  <si>
    <t>Rubus niveus</t>
  </si>
  <si>
    <t>Rubus spp.</t>
  </si>
  <si>
    <t>Rubus ulmifolius</t>
  </si>
  <si>
    <t>Rudbeckia laciniata</t>
  </si>
  <si>
    <t>Rupicapra rupicapra</t>
  </si>
  <si>
    <t>Rusa timorensis</t>
  </si>
  <si>
    <t>Salix babylonica</t>
  </si>
  <si>
    <t>Salmo trutta</t>
  </si>
  <si>
    <t>Salvator merianae</t>
  </si>
  <si>
    <t>Salvinia molesta</t>
  </si>
  <si>
    <t>Salvinia natans</t>
  </si>
  <si>
    <t>Salvinia spp.</t>
  </si>
  <si>
    <t>Sander lucioperca</t>
  </si>
  <si>
    <t>Sapindus saponaria</t>
  </si>
  <si>
    <t>Saururus cernuus</t>
  </si>
  <si>
    <t>Scapteriscus sp.</t>
  </si>
  <si>
    <t>Schinus molle</t>
  </si>
  <si>
    <t>Schinus terebinthifolia</t>
  </si>
  <si>
    <t>Scirtothrips perseae</t>
  </si>
  <si>
    <t>Sciurus carolinensis</t>
  </si>
  <si>
    <t>Sciurus niger</t>
  </si>
  <si>
    <t>Sciurus vulgaris</t>
  </si>
  <si>
    <t>Scolytus sp.</t>
  </si>
  <si>
    <t>Scyphophorus acupunctatus</t>
  </si>
  <si>
    <t>Senecio angulatus</t>
  </si>
  <si>
    <t>Senecio inaequidens</t>
  </si>
  <si>
    <t>Senecio mikanioides</t>
  </si>
  <si>
    <t>Silurus glanis</t>
  </si>
  <si>
    <t>Sinanodonta woodiana</t>
  </si>
  <si>
    <t>Sipha flava</t>
  </si>
  <si>
    <t>Sirex noctilio</t>
  </si>
  <si>
    <t>Sitodiplosis mosellana</t>
  </si>
  <si>
    <t>Solanum carolinense</t>
  </si>
  <si>
    <t>Solanum elaeagnifolium</t>
  </si>
  <si>
    <t>Solanum linnaeanum</t>
  </si>
  <si>
    <t>Solanum mauritianum</t>
  </si>
  <si>
    <t>Solanum viarum</t>
  </si>
  <si>
    <t>Solenopsis geminata</t>
  </si>
  <si>
    <t>Solenopsis invicta</t>
  </si>
  <si>
    <t>Solidago canadensis</t>
  </si>
  <si>
    <t>Solidago gigantea</t>
  </si>
  <si>
    <t>Sorghum halepense</t>
  </si>
  <si>
    <t>Spartina sp.</t>
  </si>
  <si>
    <t>Spartium junceum</t>
  </si>
  <si>
    <t>Spathodea campanulata</t>
  </si>
  <si>
    <t>Spodoptera frugiperda</t>
  </si>
  <si>
    <t>Sporobolus alterniflorus</t>
  </si>
  <si>
    <t>Sporobolus anglicus</t>
  </si>
  <si>
    <t>Sporobolus pumilus</t>
  </si>
  <si>
    <t>Sporobolus pyramidalis</t>
  </si>
  <si>
    <t>Stagonosporopsis ligulicola</t>
  </si>
  <si>
    <t>Stenocarpella macrospora</t>
  </si>
  <si>
    <t>Stenocarpella maydis</t>
  </si>
  <si>
    <t>Stenotaphrum secundatum</t>
  </si>
  <si>
    <t>Sternochetus frigidus</t>
  </si>
  <si>
    <t>Stipa caudata</t>
  </si>
  <si>
    <t>Stomoxys calcitrans</t>
  </si>
  <si>
    <t>Striga sp.</t>
  </si>
  <si>
    <t>Sturnus vulgaris</t>
  </si>
  <si>
    <t>Sus scrofa</t>
  </si>
  <si>
    <t>Symmetrischema tangolias</t>
  </si>
  <si>
    <t>Synchytrium endobioticum</t>
  </si>
  <si>
    <t>Syzygium jambos</t>
  </si>
  <si>
    <t>Taeniothrips inconsequens</t>
  </si>
  <si>
    <t>Tamarix aphylla</t>
  </si>
  <si>
    <t>Tamarix sp.</t>
  </si>
  <si>
    <t>Tamias sibiricus</t>
  </si>
  <si>
    <t>Tecia solanivora</t>
  </si>
  <si>
    <t>Teia anartoides</t>
  </si>
  <si>
    <t>Teredo navalis</t>
  </si>
  <si>
    <t>Tetropium fuscum</t>
  </si>
  <si>
    <t>Thaumetopoea pityocampa</t>
  </si>
  <si>
    <t>Thaumetopoea processionea</t>
  </si>
  <si>
    <t>Thecaphora solani</t>
  </si>
  <si>
    <t>Threskiornis aethiopicus</t>
  </si>
  <si>
    <t>Thrips palmi</t>
  </si>
  <si>
    <t>Tilletia controversa</t>
  </si>
  <si>
    <t>Tilletia indica</t>
  </si>
  <si>
    <t>Trachemys emolli</t>
  </si>
  <si>
    <t>Trachemys gaigeae</t>
  </si>
  <si>
    <t>Trachemys scripta</t>
  </si>
  <si>
    <t>Tradescantia fluminensis</t>
  </si>
  <si>
    <t>Trialeurodes vaporariorum</t>
  </si>
  <si>
    <t>Trichopodus trichopterus</t>
  </si>
  <si>
    <t>Trichosurus vulpecula</t>
  </si>
  <si>
    <t>Triphasia trifolia</t>
  </si>
  <si>
    <t>Trogoderma granarium</t>
  </si>
  <si>
    <t>Tuta absoluta</t>
  </si>
  <si>
    <t>Tylenchulus semipenetrans</t>
  </si>
  <si>
    <t>Typha angustifolia</t>
  </si>
  <si>
    <t>Typha domingensis</t>
  </si>
  <si>
    <t>Ulex europaeus</t>
  </si>
  <si>
    <t>Ulex parviflorus</t>
  </si>
  <si>
    <t>Undaria pinnatfida</t>
  </si>
  <si>
    <t>Uraba lugens</t>
  </si>
  <si>
    <t>Vachellia farnesiana</t>
  </si>
  <si>
    <t>Vachellia karroo</t>
  </si>
  <si>
    <t>Varroa destructor</t>
  </si>
  <si>
    <t>Verticillium dahliae</t>
  </si>
  <si>
    <t>Vespa velutina</t>
  </si>
  <si>
    <t>Vespula germanica</t>
  </si>
  <si>
    <t>Vulpes vulpes</t>
  </si>
  <si>
    <t>Washingtonia filifera</t>
  </si>
  <si>
    <t>Washingtonia robusta</t>
  </si>
  <si>
    <t>Wasmannia auropunctata</t>
  </si>
  <si>
    <t>Xanthium echinatum</t>
  </si>
  <si>
    <t>Xanthium orientale</t>
  </si>
  <si>
    <t>Xanthium spinosum</t>
  </si>
  <si>
    <t>Xanthium strumarium</t>
  </si>
  <si>
    <t>Xanthomonas campestris</t>
  </si>
  <si>
    <t>Xanthomonas oryzae</t>
  </si>
  <si>
    <t>Xenopus laevis</t>
  </si>
  <si>
    <t>Xyleborus glabratus</t>
  </si>
  <si>
    <t>Xylophilus ampelinus</t>
  </si>
  <si>
    <t>Yucca aloifolia</t>
  </si>
  <si>
    <t>Yucca filamentosa</t>
  </si>
  <si>
    <t>Yucca gigantea</t>
  </si>
  <si>
    <t>Zabrotes subfasciatus</t>
  </si>
  <si>
    <t>Zamenis scalaris</t>
  </si>
  <si>
    <t>Zantedeschia aethiopica</t>
  </si>
  <si>
    <t>Zea mays</t>
  </si>
  <si>
    <t>Zeuzera pyrina</t>
  </si>
  <si>
    <t>Ziziphus mauritiana</t>
  </si>
  <si>
    <t>Zygogramma exclamationis</t>
  </si>
  <si>
    <t>Zygophyllum fabago</t>
  </si>
  <si>
    <t>Tracheophyta</t>
  </si>
  <si>
    <t>Magnoliopsida</t>
  </si>
  <si>
    <t>Malvales</t>
  </si>
  <si>
    <t>Malvaceae</t>
  </si>
  <si>
    <t>Abutilon</t>
  </si>
  <si>
    <t>Fabales</t>
  </si>
  <si>
    <t>Fabaceae</t>
  </si>
  <si>
    <t>Acacia</t>
  </si>
  <si>
    <t>Acaciella</t>
  </si>
  <si>
    <t>Lamiales</t>
  </si>
  <si>
    <t>Acanthaceae</t>
  </si>
  <si>
    <t>Acanthus</t>
  </si>
  <si>
    <t>Arthropoda</t>
  </si>
  <si>
    <t>Arachnida</t>
  </si>
  <si>
    <t>Prostigmata</t>
  </si>
  <si>
    <t>Tarsonemidae</t>
  </si>
  <si>
    <t>Acarapis</t>
  </si>
  <si>
    <t>Sapindales</t>
  </si>
  <si>
    <t>Sapindaceae</t>
  </si>
  <si>
    <t>Acer</t>
  </si>
  <si>
    <t>Mollusca</t>
  </si>
  <si>
    <t>Gastropoda</t>
  </si>
  <si>
    <t>Stylommatophora</t>
  </si>
  <si>
    <t>Achatinidae</t>
  </si>
  <si>
    <t>Achatina</t>
  </si>
  <si>
    <t>Chordata</t>
  </si>
  <si>
    <t>Aves</t>
  </si>
  <si>
    <t>Passeriformes</t>
  </si>
  <si>
    <t>Sturnidae</t>
  </si>
  <si>
    <t>Acridotheres</t>
  </si>
  <si>
    <t>Insecta</t>
  </si>
  <si>
    <t>Hemiptera</t>
  </si>
  <si>
    <t>Adelgidae</t>
  </si>
  <si>
    <t>Adelges</t>
  </si>
  <si>
    <t>Diptera</t>
  </si>
  <si>
    <t>Culicidae</t>
  </si>
  <si>
    <t>Aedes</t>
  </si>
  <si>
    <t>Proteobacteria</t>
  </si>
  <si>
    <t>Gammaproteobacteria</t>
  </si>
  <si>
    <t>Aeromonadales</t>
  </si>
  <si>
    <t>Aeromonadaceae</t>
  </si>
  <si>
    <t>Aeromonas</t>
  </si>
  <si>
    <t>Aeschynomene</t>
  </si>
  <si>
    <t>Liliopsida</t>
  </si>
  <si>
    <t>Asparagales</t>
  </si>
  <si>
    <t>Asparagaceae</t>
  </si>
  <si>
    <t>Agave</t>
  </si>
  <si>
    <t>Coleoptera</t>
  </si>
  <si>
    <t>Buprestidae</t>
  </si>
  <si>
    <t>Agrilus</t>
  </si>
  <si>
    <t>Simaroubaceae</t>
  </si>
  <si>
    <t>Ailanthus</t>
  </si>
  <si>
    <t>Actinopterygii</t>
  </si>
  <si>
    <t>Cypriniformes</t>
  </si>
  <si>
    <t>Cyprinidae</t>
  </si>
  <si>
    <t>Alburnus</t>
  </si>
  <si>
    <t>Aleyrodidae</t>
  </si>
  <si>
    <t>Aleurocanthus</t>
  </si>
  <si>
    <t>Asphodelaceae</t>
  </si>
  <si>
    <t>Aloe</t>
  </si>
  <si>
    <t>Anseriformes</t>
  </si>
  <si>
    <t>Anatidae</t>
  </si>
  <si>
    <t>Alopochen</t>
  </si>
  <si>
    <t>Caryophyllales</t>
  </si>
  <si>
    <t>Amaranthaceae</t>
  </si>
  <si>
    <t>Alternanthera</t>
  </si>
  <si>
    <t>Estrildidae</t>
  </si>
  <si>
    <t>Amandava</t>
  </si>
  <si>
    <t>Agromyzidae</t>
  </si>
  <si>
    <t>Amauromyza</t>
  </si>
  <si>
    <t>Asterales</t>
  </si>
  <si>
    <t>Asteraceae</t>
  </si>
  <si>
    <t>Ambrosia</t>
  </si>
  <si>
    <t>Siluriformes</t>
  </si>
  <si>
    <t>Ictaluridae</t>
  </si>
  <si>
    <t>Ameiurus</t>
  </si>
  <si>
    <t>Tephritidae</t>
  </si>
  <si>
    <t>Anastrepha</t>
  </si>
  <si>
    <t>Poales</t>
  </si>
  <si>
    <t>Poaceae</t>
  </si>
  <si>
    <t>Andropogon</t>
  </si>
  <si>
    <t>Nematoda</t>
  </si>
  <si>
    <t>Secernentea</t>
  </si>
  <si>
    <t>Spirurida</t>
  </si>
  <si>
    <t>Anguillicolidae</t>
  </si>
  <si>
    <t>Anguillicoloides</t>
  </si>
  <si>
    <t>Reptilia</t>
  </si>
  <si>
    <t>Squamata</t>
  </si>
  <si>
    <t>Dactyloidae</t>
  </si>
  <si>
    <t>Anolis</t>
  </si>
  <si>
    <t>Anopheles</t>
  </si>
  <si>
    <t>Hymenoptera</t>
  </si>
  <si>
    <t>Formicidae</t>
  </si>
  <si>
    <t>Anoplolepis</t>
  </si>
  <si>
    <t>Cerambycidae</t>
  </si>
  <si>
    <t>Anoplophora</t>
  </si>
  <si>
    <t>Basellaceae</t>
  </si>
  <si>
    <t>Anredera</t>
  </si>
  <si>
    <t>Anthemis</t>
  </si>
  <si>
    <t>Curculionidae</t>
  </si>
  <si>
    <t>Anthonomus</t>
  </si>
  <si>
    <t>Oomycota</t>
  </si>
  <si>
    <t>Peronosporea</t>
  </si>
  <si>
    <t>Saprolegniales</t>
  </si>
  <si>
    <t>Leptolegniaceae</t>
  </si>
  <si>
    <t>Aphanomyces</t>
  </si>
  <si>
    <t>Aphelenchida</t>
  </si>
  <si>
    <t>Aphelenchoididae</t>
  </si>
  <si>
    <t>Aphelenchoides</t>
  </si>
  <si>
    <t>Aphididae</t>
  </si>
  <si>
    <t>Aphis</t>
  </si>
  <si>
    <t>Apidae</t>
  </si>
  <si>
    <t>Apis</t>
  </si>
  <si>
    <t>Accipitriformes</t>
  </si>
  <si>
    <t>Accipitridae</t>
  </si>
  <si>
    <t>Aquila</t>
  </si>
  <si>
    <t>Gentianales</t>
  </si>
  <si>
    <t>Apocynaceae</t>
  </si>
  <si>
    <t>Araujia</t>
  </si>
  <si>
    <t>Arctotheca</t>
  </si>
  <si>
    <t>Arionidae</t>
  </si>
  <si>
    <t>Arion</t>
  </si>
  <si>
    <t>Piperales</t>
  </si>
  <si>
    <t>Aristolochiaceae</t>
  </si>
  <si>
    <t>Aristolochia</t>
  </si>
  <si>
    <t>Artemisia</t>
  </si>
  <si>
    <t>Rosales</t>
  </si>
  <si>
    <t>Moraceae</t>
  </si>
  <si>
    <t>Artocarpus</t>
  </si>
  <si>
    <t>Arundo</t>
  </si>
  <si>
    <t>Aster</t>
  </si>
  <si>
    <t>Mammalia</t>
  </si>
  <si>
    <t>Erinaceomorpha</t>
  </si>
  <si>
    <t>Erinaceidae</t>
  </si>
  <si>
    <t>Atelerix</t>
  </si>
  <si>
    <t>Rodentia</t>
  </si>
  <si>
    <t>Sciuridae</t>
  </si>
  <si>
    <t>Atlantoxerus</t>
  </si>
  <si>
    <t>Atriplex</t>
  </si>
  <si>
    <t>Cactaceae</t>
  </si>
  <si>
    <t>Austrocylindropuntia</t>
  </si>
  <si>
    <t>Basidiomycota</t>
  </si>
  <si>
    <t>Pucciniomycetes</t>
  </si>
  <si>
    <t>Pucciniales</t>
  </si>
  <si>
    <t>Sphaerophragmiaceae</t>
  </si>
  <si>
    <t>Austropuccinia</t>
  </si>
  <si>
    <t>Polypodiopsida</t>
  </si>
  <si>
    <t>Salviniales</t>
  </si>
  <si>
    <t>Salviniaceae</t>
  </si>
  <si>
    <t>Azolla</t>
  </si>
  <si>
    <t>Baccharis</t>
  </si>
  <si>
    <t>Bactrocera</t>
  </si>
  <si>
    <t>Maxillopoda</t>
  </si>
  <si>
    <t>Sessilia</t>
  </si>
  <si>
    <t>Balanidae</t>
  </si>
  <si>
    <t>Balanus</t>
  </si>
  <si>
    <t>Cicadellidae</t>
  </si>
  <si>
    <t>Balclutha</t>
  </si>
  <si>
    <t>Bemisia</t>
  </si>
  <si>
    <t>Bidens</t>
  </si>
  <si>
    <t>Blissidae</t>
  </si>
  <si>
    <t>Blissus</t>
  </si>
  <si>
    <t>Colubridae</t>
  </si>
  <si>
    <t>Boiga</t>
  </si>
  <si>
    <t>Bombus</t>
  </si>
  <si>
    <t>Artiodactyla</t>
  </si>
  <si>
    <t>Bovidae</t>
  </si>
  <si>
    <t>Bos</t>
  </si>
  <si>
    <t>Bos taurus</t>
  </si>
  <si>
    <t>Bostrichus</t>
  </si>
  <si>
    <t>Brachiaria</t>
  </si>
  <si>
    <t>Brachychiton</t>
  </si>
  <si>
    <t>Branta</t>
  </si>
  <si>
    <t>Bromus</t>
  </si>
  <si>
    <t>Chrysomelidae</t>
  </si>
  <si>
    <t>Brontispa</t>
  </si>
  <si>
    <t>Bruchus</t>
  </si>
  <si>
    <t>Saxifragales</t>
  </si>
  <si>
    <t>Crassulaceae</t>
  </si>
  <si>
    <t>Kalanchoe</t>
  </si>
  <si>
    <t>Bubalus</t>
  </si>
  <si>
    <t>Scrophulariaceae</t>
  </si>
  <si>
    <t>Buddleja</t>
  </si>
  <si>
    <t>Aphelenchidae</t>
  </si>
  <si>
    <t>Bursaphelenchus</t>
  </si>
  <si>
    <t>Branchiopoda</t>
  </si>
  <si>
    <t>Diplostraca</t>
  </si>
  <si>
    <t>Cercopagidae</t>
  </si>
  <si>
    <t>Bythotrephes</t>
  </si>
  <si>
    <t>Nymphaeales</t>
  </si>
  <si>
    <t>Cabombaceae</t>
  </si>
  <si>
    <t>Cabomba</t>
  </si>
  <si>
    <t>Lepidoptera</t>
  </si>
  <si>
    <t>Pyralidae</t>
  </si>
  <si>
    <t>Cactoblastis</t>
  </si>
  <si>
    <t>Caesalpinia</t>
  </si>
  <si>
    <t>Dryophthoridae</t>
  </si>
  <si>
    <t>Calandra</t>
  </si>
  <si>
    <t>Malacostraca</t>
  </si>
  <si>
    <t>Decapoda</t>
  </si>
  <si>
    <t>Portunidae</t>
  </si>
  <si>
    <t>Callinectes</t>
  </si>
  <si>
    <t>Callosciurus</t>
  </si>
  <si>
    <t>Calotropis</t>
  </si>
  <si>
    <t>Camelidae</t>
  </si>
  <si>
    <t>Camelus</t>
  </si>
  <si>
    <t>Gracillariidae</t>
  </si>
  <si>
    <t>Cameraria</t>
  </si>
  <si>
    <t>Carnivora</t>
  </si>
  <si>
    <t>Canidae</t>
  </si>
  <si>
    <t>Canis</t>
  </si>
  <si>
    <t>Capra</t>
  </si>
  <si>
    <t>Carassius</t>
  </si>
  <si>
    <t>Aizoaceae</t>
  </si>
  <si>
    <t>Carpobrotus</t>
  </si>
  <si>
    <t>Castoridae</t>
  </si>
  <si>
    <t>Castor</t>
  </si>
  <si>
    <t>Fagales</t>
  </si>
  <si>
    <t>Casuarinaceae</t>
  </si>
  <si>
    <t>Casuarina</t>
  </si>
  <si>
    <t>Chlorophyta</t>
  </si>
  <si>
    <t>Ulvophyceae</t>
  </si>
  <si>
    <t>Bryopsidales</t>
  </si>
  <si>
    <t>Caulerpaceae</t>
  </si>
  <si>
    <t>Caulerpa</t>
  </si>
  <si>
    <t>Cenchrus</t>
  </si>
  <si>
    <t>Centaurea</t>
  </si>
  <si>
    <t>Ceratitis</t>
  </si>
  <si>
    <t>Ascomycota</t>
  </si>
  <si>
    <t>Sordariomycetes</t>
  </si>
  <si>
    <t>Microascales</t>
  </si>
  <si>
    <t>Ceratocystidaceae</t>
  </si>
  <si>
    <t>Ceratocystis</t>
  </si>
  <si>
    <t>Cercopagis</t>
  </si>
  <si>
    <t>Cereus</t>
  </si>
  <si>
    <t>Cervidae</t>
  </si>
  <si>
    <t>Cervus</t>
  </si>
  <si>
    <t>Ceutorhynchus</t>
  </si>
  <si>
    <t>Perciformes</t>
  </si>
  <si>
    <t>Channidae</t>
  </si>
  <si>
    <t>Channa</t>
  </si>
  <si>
    <t>Iridaceae</t>
  </si>
  <si>
    <t>Chasmanthe</t>
  </si>
  <si>
    <t>Testudines</t>
  </si>
  <si>
    <t>Chelydridae</t>
  </si>
  <si>
    <t>Chelydra</t>
  </si>
  <si>
    <t>Crambidae</t>
  </si>
  <si>
    <t>Chilo</t>
  </si>
  <si>
    <t>Chlorophytum</t>
  </si>
  <si>
    <t>Tortricidae</t>
  </si>
  <si>
    <t>Choristoneura</t>
  </si>
  <si>
    <t>Chromolaena</t>
  </si>
  <si>
    <t>Emydidae</t>
  </si>
  <si>
    <t>Chrysemys</t>
  </si>
  <si>
    <t>Haptophyta</t>
  </si>
  <si>
    <t>Prymnesiophyceae</t>
  </si>
  <si>
    <t>Prymnesiales</t>
  </si>
  <si>
    <t>Prymnesiaceae</t>
  </si>
  <si>
    <t>Prymnesium</t>
  </si>
  <si>
    <t>Prymnesium polylepis</t>
  </si>
  <si>
    <t>Calliphoridae</t>
  </si>
  <si>
    <t>Chrysomya</t>
  </si>
  <si>
    <t>Cinara</t>
  </si>
  <si>
    <t>Cinara cupressi</t>
  </si>
  <si>
    <t>Verbenaceae</t>
  </si>
  <si>
    <t>Citharexylum</t>
  </si>
  <si>
    <t>Rutaceae</t>
  </si>
  <si>
    <t>Citrus</t>
  </si>
  <si>
    <t>Clariidae</t>
  </si>
  <si>
    <t>Clarias</t>
  </si>
  <si>
    <t>Myrtales</t>
  </si>
  <si>
    <t>Melastomataceae</t>
  </si>
  <si>
    <t>Clidemia</t>
  </si>
  <si>
    <t>Cochliomyia</t>
  </si>
  <si>
    <t>Alismatales</t>
  </si>
  <si>
    <t>Araceae</t>
  </si>
  <si>
    <t>Colocasia</t>
  </si>
  <si>
    <t>Rhamnaceae</t>
  </si>
  <si>
    <t>Colubrina</t>
  </si>
  <si>
    <t>Columbiformes</t>
  </si>
  <si>
    <t>Columbidae</t>
  </si>
  <si>
    <t>Columba</t>
  </si>
  <si>
    <t>Cichlidae</t>
  </si>
  <si>
    <t>Coptodon</t>
  </si>
  <si>
    <t>Blattodea</t>
  </si>
  <si>
    <t>Rhinotermitidae</t>
  </si>
  <si>
    <t>Coptotermes</t>
  </si>
  <si>
    <t>Bivalvia</t>
  </si>
  <si>
    <t>Venerida</t>
  </si>
  <si>
    <t>Cyrenidae</t>
  </si>
  <si>
    <t>Corbicula</t>
  </si>
  <si>
    <t>Coreopsis</t>
  </si>
  <si>
    <t>Cortaderia</t>
  </si>
  <si>
    <t>Corvidae</t>
  </si>
  <si>
    <t>Corvus</t>
  </si>
  <si>
    <t>Tingidae</t>
  </si>
  <si>
    <t>Corythucha</t>
  </si>
  <si>
    <t>Cosmopolites</t>
  </si>
  <si>
    <t>Crassula</t>
  </si>
  <si>
    <t>Crocosmia</t>
  </si>
  <si>
    <t>Cryptostegia</t>
  </si>
  <si>
    <t>Kalotermitidae</t>
  </si>
  <si>
    <t>Cryptotermes</t>
  </si>
  <si>
    <t>Ceratopogonidae</t>
  </si>
  <si>
    <t>Culicoides</t>
  </si>
  <si>
    <t>Pinopsida</t>
  </si>
  <si>
    <t>Pinales</t>
  </si>
  <si>
    <t>Cupressaceae</t>
  </si>
  <si>
    <t>Cupressus</t>
  </si>
  <si>
    <t>Cydalima</t>
  </si>
  <si>
    <t>Cydia</t>
  </si>
  <si>
    <t>Cygnus</t>
  </si>
  <si>
    <t>Brentidae</t>
  </si>
  <si>
    <t>Cylas</t>
  </si>
  <si>
    <t>Cylindropuntia</t>
  </si>
  <si>
    <t>Cymbopogon</t>
  </si>
  <si>
    <t>Cyperaceae</t>
  </si>
  <si>
    <t>Cyperus</t>
  </si>
  <si>
    <t>Cyprinus</t>
  </si>
  <si>
    <t>Dactylopiidae</t>
  </si>
  <si>
    <t>Dactylopius</t>
  </si>
  <si>
    <t>Phylloxeridae</t>
  </si>
  <si>
    <t>Daktulosphaira</t>
  </si>
  <si>
    <t>Dama</t>
  </si>
  <si>
    <t>Danio</t>
  </si>
  <si>
    <t>Dendroctonus</t>
  </si>
  <si>
    <t>Diabrotica</t>
  </si>
  <si>
    <t>Diaspididae</t>
  </si>
  <si>
    <t>Diaspidiotus</t>
  </si>
  <si>
    <t>Dichrostachys</t>
  </si>
  <si>
    <t>Ochrophyta</t>
  </si>
  <si>
    <t>Bacillariophyceae</t>
  </si>
  <si>
    <t>Cymbellales</t>
  </si>
  <si>
    <t>Gomphonemataceae</t>
  </si>
  <si>
    <t>Didymosphenia</t>
  </si>
  <si>
    <t>Dioscoreales</t>
  </si>
  <si>
    <t>Dioscoreaceae</t>
  </si>
  <si>
    <t>Dioscorea</t>
  </si>
  <si>
    <t>Ericales</t>
  </si>
  <si>
    <t>Ebenaceae</t>
  </si>
  <si>
    <t>Diospyros</t>
  </si>
  <si>
    <t>Tylenchida</t>
  </si>
  <si>
    <t>Anguinidae</t>
  </si>
  <si>
    <t>Ditylenchus</t>
  </si>
  <si>
    <t>Diuraphis</t>
  </si>
  <si>
    <t>Myida</t>
  </si>
  <si>
    <t>Dreissenidae</t>
  </si>
  <si>
    <t>Dreissena</t>
  </si>
  <si>
    <t>Drosanthemum</t>
  </si>
  <si>
    <t>Drosophilidae</t>
  </si>
  <si>
    <t>Drosophila</t>
  </si>
  <si>
    <t>Cynipidae</t>
  </si>
  <si>
    <t>Dryocosmus</t>
  </si>
  <si>
    <t>Boraginales</t>
  </si>
  <si>
    <t>Boraginaceae</t>
  </si>
  <si>
    <t>Echium</t>
  </si>
  <si>
    <t>Hydrocharitaceae</t>
  </si>
  <si>
    <t>Egeria</t>
  </si>
  <si>
    <t>Commelinales</t>
  </si>
  <si>
    <t>Pontederiaceae</t>
  </si>
  <si>
    <t>Eichhornia</t>
  </si>
  <si>
    <t>Elaeagnaceae</t>
  </si>
  <si>
    <t>Elaeagnus</t>
  </si>
  <si>
    <t>Arecales</t>
  </si>
  <si>
    <t>Arecaceae</t>
  </si>
  <si>
    <t>Elaeis</t>
  </si>
  <si>
    <t>Elasmopalpus</t>
  </si>
  <si>
    <t>Elasmopalpus lignosella</t>
  </si>
  <si>
    <t>Elatobium</t>
  </si>
  <si>
    <t>Amphibia</t>
  </si>
  <si>
    <t>Anura</t>
  </si>
  <si>
    <t>Eleutherodactylidae</t>
  </si>
  <si>
    <t>Eleutherodactylus</t>
  </si>
  <si>
    <t>Elodea</t>
  </si>
  <si>
    <t>Eoreuma</t>
  </si>
  <si>
    <t>Ephestia</t>
  </si>
  <si>
    <t>Epiphyas</t>
  </si>
  <si>
    <t>Epitrix</t>
  </si>
  <si>
    <t>Perissodactyla</t>
  </si>
  <si>
    <t>Equidae</t>
  </si>
  <si>
    <t>Equus</t>
  </si>
  <si>
    <t>Eragrostis</t>
  </si>
  <si>
    <t>Erigeron</t>
  </si>
  <si>
    <t>Erinaceus</t>
  </si>
  <si>
    <t>Varunidae</t>
  </si>
  <si>
    <t>Eriocheir</t>
  </si>
  <si>
    <t>Hesperiidae</t>
  </si>
  <si>
    <t>Erionota</t>
  </si>
  <si>
    <t>Eriosoma</t>
  </si>
  <si>
    <t>Enterobacteriales</t>
  </si>
  <si>
    <t>Enterobacteriaceae</t>
  </si>
  <si>
    <t>Erwinia</t>
  </si>
  <si>
    <t>Primates</t>
  </si>
  <si>
    <t>Cercopithecidae</t>
  </si>
  <si>
    <t>Erythrocebus</t>
  </si>
  <si>
    <t>Esociformes</t>
  </si>
  <si>
    <t>Esocidae</t>
  </si>
  <si>
    <t>Esox</t>
  </si>
  <si>
    <t>Estrilda</t>
  </si>
  <si>
    <t>Myrtaceae</t>
  </si>
  <si>
    <t>Eucalyptus</t>
  </si>
  <si>
    <t>Eupatorium</t>
  </si>
  <si>
    <t>Malpighiales</t>
  </si>
  <si>
    <t>Euphorbiaceae</t>
  </si>
  <si>
    <t>Euphorbia</t>
  </si>
  <si>
    <t>Tetranychidae</t>
  </si>
  <si>
    <t>Eutetranychus</t>
  </si>
  <si>
    <t>Felidae</t>
  </si>
  <si>
    <t>Felis</t>
  </si>
  <si>
    <t>Annelida</t>
  </si>
  <si>
    <t>Polychaeta</t>
  </si>
  <si>
    <t>Sabellida</t>
  </si>
  <si>
    <t>Serpulidae</t>
  </si>
  <si>
    <t>Ficopomatus</t>
  </si>
  <si>
    <t>Flemingia</t>
  </si>
  <si>
    <t>Thysanoptera</t>
  </si>
  <si>
    <t>Thripidae</t>
  </si>
  <si>
    <t>Frankliniella</t>
  </si>
  <si>
    <t>Oleaceae</t>
  </si>
  <si>
    <t>Fraxinus</t>
  </si>
  <si>
    <t>Freesia</t>
  </si>
  <si>
    <t>Cyprinodontiformes</t>
  </si>
  <si>
    <t>Fundulidae</t>
  </si>
  <si>
    <t>Fundulus</t>
  </si>
  <si>
    <t>Furcraea</t>
  </si>
  <si>
    <t>Hypocreales</t>
  </si>
  <si>
    <t>Nectriaceae</t>
  </si>
  <si>
    <t>Fusarium</t>
  </si>
  <si>
    <t>Gruiformes</t>
  </si>
  <si>
    <t>Rallidae</t>
  </si>
  <si>
    <t>Gallirallus</t>
  </si>
  <si>
    <t>Poeciliidae</t>
  </si>
  <si>
    <t>Gambusia</t>
  </si>
  <si>
    <t>Viverridae</t>
  </si>
  <si>
    <t>Genetta</t>
  </si>
  <si>
    <t>Gleditsia</t>
  </si>
  <si>
    <t>Gliridae</t>
  </si>
  <si>
    <t>Glis</t>
  </si>
  <si>
    <t>Gonipterus</t>
  </si>
  <si>
    <t>Grapholita</t>
  </si>
  <si>
    <t>Graptemys</t>
  </si>
  <si>
    <t>Percidae</t>
  </si>
  <si>
    <t>Gymnocephalus</t>
  </si>
  <si>
    <t>Gymnocoronis</t>
  </si>
  <si>
    <t>Platyhelminthes</t>
  </si>
  <si>
    <t>Monogenea</t>
  </si>
  <si>
    <t>Gyrodactylidea</t>
  </si>
  <si>
    <t>Gyrodactylidae</t>
  </si>
  <si>
    <t>Gyrodactylus</t>
  </si>
  <si>
    <t>Muscidae</t>
  </si>
  <si>
    <t>Haematobia</t>
  </si>
  <si>
    <t>Proteales</t>
  </si>
  <si>
    <t>Proteaceae</t>
  </si>
  <si>
    <t>Hakea</t>
  </si>
  <si>
    <t>Penthaleidae</t>
  </si>
  <si>
    <t>Halotydeus</t>
  </si>
  <si>
    <t>Pentatomidae</t>
  </si>
  <si>
    <t>Halyomorpha</t>
  </si>
  <si>
    <t>Coccinellidae</t>
  </si>
  <si>
    <t>Harmonia</t>
  </si>
  <si>
    <t>Haworthiopsis</t>
  </si>
  <si>
    <t>Zingiberales</t>
  </si>
  <si>
    <t>Zingiberaceae</t>
  </si>
  <si>
    <t>Hedychium</t>
  </si>
  <si>
    <t>Helianthus</t>
  </si>
  <si>
    <t>Helichrysum</t>
  </si>
  <si>
    <t>Noctuidae</t>
  </si>
  <si>
    <t>Helicoverpa</t>
  </si>
  <si>
    <t>Helicidae</t>
  </si>
  <si>
    <t>Helix</t>
  </si>
  <si>
    <t>Hemiberlesia</t>
  </si>
  <si>
    <t>Hemitragus</t>
  </si>
  <si>
    <t>Hemorrhois</t>
  </si>
  <si>
    <t>Henosepilachna</t>
  </si>
  <si>
    <t>Apiales</t>
  </si>
  <si>
    <t>Apiaceae</t>
  </si>
  <si>
    <t>Heracleum</t>
  </si>
  <si>
    <t>Herpestidae</t>
  </si>
  <si>
    <t>Herpestes</t>
  </si>
  <si>
    <t>Agaricomycetes</t>
  </si>
  <si>
    <t>Russulales</t>
  </si>
  <si>
    <t>Bondarzewiaceae</t>
  </si>
  <si>
    <t>Heterobasidion</t>
  </si>
  <si>
    <t>Heteroderidae</t>
  </si>
  <si>
    <t>Heterodera</t>
  </si>
  <si>
    <t>Homalodisca</t>
  </si>
  <si>
    <t>Cannabaceae</t>
  </si>
  <si>
    <t>Humulopsis</t>
  </si>
  <si>
    <t>Hyblaeidae</t>
  </si>
  <si>
    <t>Hyblaea</t>
  </si>
  <si>
    <t>Hydrilla</t>
  </si>
  <si>
    <t>Hydrocotyle</t>
  </si>
  <si>
    <t>Hydropotes</t>
  </si>
  <si>
    <t>Hymenachne</t>
  </si>
  <si>
    <t>Hypera</t>
  </si>
  <si>
    <t>Erebidae</t>
  </si>
  <si>
    <t>Hyphantria</t>
  </si>
  <si>
    <t>Hystricidae</t>
  </si>
  <si>
    <t>Hystrix</t>
  </si>
  <si>
    <t>Iguanidae</t>
  </si>
  <si>
    <t>Iguana</t>
  </si>
  <si>
    <t>Balsaminaceae</t>
  </si>
  <si>
    <t>Impatiens</t>
  </si>
  <si>
    <t>Indigofera</t>
  </si>
  <si>
    <t>Solanales</t>
  </si>
  <si>
    <t>Convolvulaceae</t>
  </si>
  <si>
    <t>Ipomoea</t>
  </si>
  <si>
    <t>Ips</t>
  </si>
  <si>
    <t>Iva</t>
  </si>
  <si>
    <t>Jacobaea</t>
  </si>
  <si>
    <t>Jatropha</t>
  </si>
  <si>
    <t>Gelechiidae</t>
  </si>
  <si>
    <t>Keiferia</t>
  </si>
  <si>
    <t>Lacertidae</t>
  </si>
  <si>
    <t>Lacerta</t>
  </si>
  <si>
    <t>Leotiomycetes</t>
  </si>
  <si>
    <t>Helotiales</t>
  </si>
  <si>
    <t>Hyaloscyphaceae</t>
  </si>
  <si>
    <t>Lachnellula</t>
  </si>
  <si>
    <t>Lagarosiphon</t>
  </si>
  <si>
    <t>Tetraodontiformes</t>
  </si>
  <si>
    <t>Tetraodontidae</t>
  </si>
  <si>
    <t>Lagocephalus</t>
  </si>
  <si>
    <t>Lampropeltis</t>
  </si>
  <si>
    <t>Lantana</t>
  </si>
  <si>
    <t>Lasius</t>
  </si>
  <si>
    <t>Centrarchidae</t>
  </si>
  <si>
    <t>Lepomis</t>
  </si>
  <si>
    <t>Leptinotarsa</t>
  </si>
  <si>
    <t>Coreidae</t>
  </si>
  <si>
    <t>Leptoglossus</t>
  </si>
  <si>
    <t>Leucaena</t>
  </si>
  <si>
    <t>Ligustrum</t>
  </si>
  <si>
    <t>Mytilida</t>
  </si>
  <si>
    <t>Mytilidae</t>
  </si>
  <si>
    <t>Limnoperna</t>
  </si>
  <si>
    <t>Linepithema</t>
  </si>
  <si>
    <t>Liriomyza</t>
  </si>
  <si>
    <t>Brachyceridae</t>
  </si>
  <si>
    <t>Lissorhoptrus</t>
  </si>
  <si>
    <t>Listronotus</t>
  </si>
  <si>
    <t>Ranidae</t>
  </si>
  <si>
    <t>Lithobates</t>
  </si>
  <si>
    <t>Lobesia</t>
  </si>
  <si>
    <t>Dipsacales</t>
  </si>
  <si>
    <t>Caprifoliaceae</t>
  </si>
  <si>
    <t>Lonicera</t>
  </si>
  <si>
    <t>Onagraceae</t>
  </si>
  <si>
    <t>Ludwigia</t>
  </si>
  <si>
    <t>Lupinus</t>
  </si>
  <si>
    <t>Solanaceae</t>
  </si>
  <si>
    <t>Lycium</t>
  </si>
  <si>
    <t>Lymantria</t>
  </si>
  <si>
    <t>Lysichiton</t>
  </si>
  <si>
    <t>Lythraceae</t>
  </si>
  <si>
    <t>Lythrum</t>
  </si>
  <si>
    <t>Macaca</t>
  </si>
  <si>
    <t>Pseudococcidae</t>
  </si>
  <si>
    <t>Maconellicoccus</t>
  </si>
  <si>
    <t>Ostreida</t>
  </si>
  <si>
    <t>Ostreidae</t>
  </si>
  <si>
    <t>Magallana</t>
  </si>
  <si>
    <t>Malephora</t>
  </si>
  <si>
    <t>Lamprophiidae</t>
  </si>
  <si>
    <t>Malpolon</t>
  </si>
  <si>
    <t>Margarodidae</t>
  </si>
  <si>
    <t>Matsucoccus</t>
  </si>
  <si>
    <t>Geoemydidae</t>
  </si>
  <si>
    <t>Mauremys</t>
  </si>
  <si>
    <t>Melaleuca</t>
  </si>
  <si>
    <t>Galliformes</t>
  </si>
  <si>
    <t>Phasianidae</t>
  </si>
  <si>
    <t>Meleagris</t>
  </si>
  <si>
    <t>Meliaceae</t>
  </si>
  <si>
    <t>Melia</t>
  </si>
  <si>
    <t>Rhabditida</t>
  </si>
  <si>
    <t>Meloidogynidae</t>
  </si>
  <si>
    <t>Meloidogyne</t>
  </si>
  <si>
    <t>Mesembryanthemum</t>
  </si>
  <si>
    <t>Metopolophium</t>
  </si>
  <si>
    <t>Miconia</t>
  </si>
  <si>
    <t>Micropterus</t>
  </si>
  <si>
    <t>Mikania</t>
  </si>
  <si>
    <t>Mimosa</t>
  </si>
  <si>
    <t>Nyctaginaceae</t>
  </si>
  <si>
    <t>Mirabilis</t>
  </si>
  <si>
    <t>Cobitidae</t>
  </si>
  <si>
    <t>Misgurnus</t>
  </si>
  <si>
    <t>Ctenophora</t>
  </si>
  <si>
    <t>Tentaculata</t>
  </si>
  <si>
    <t>Lobata</t>
  </si>
  <si>
    <t>Bolinopsidae</t>
  </si>
  <si>
    <t>Mnemiopsis</t>
  </si>
  <si>
    <t>Monochamus</t>
  </si>
  <si>
    <t>Monochamus urussovii</t>
  </si>
  <si>
    <t>Moronidae</t>
  </si>
  <si>
    <t>Morone</t>
  </si>
  <si>
    <t>Morus</t>
  </si>
  <si>
    <t>Muntiacus</t>
  </si>
  <si>
    <t>Muridae</t>
  </si>
  <si>
    <t>Mus</t>
  </si>
  <si>
    <t>Mustelidae</t>
  </si>
  <si>
    <t>Mustela</t>
  </si>
  <si>
    <t>Psittaciformes</t>
  </si>
  <si>
    <t>Psittacidae</t>
  </si>
  <si>
    <t>Myiopsitta</t>
  </si>
  <si>
    <t>Myocastoridae</t>
  </si>
  <si>
    <t>Myocastor</t>
  </si>
  <si>
    <t>Myoporum</t>
  </si>
  <si>
    <t>Haloragaceae</t>
  </si>
  <si>
    <t>Myriophyllum</t>
  </si>
  <si>
    <t>Mytilopsis</t>
  </si>
  <si>
    <t>Nasonovia</t>
  </si>
  <si>
    <t>Nassella</t>
  </si>
  <si>
    <t>Procyonidae</t>
  </si>
  <si>
    <t>Nasua</t>
  </si>
  <si>
    <t>Termitidae</t>
  </si>
  <si>
    <t>Nasutitermes</t>
  </si>
  <si>
    <t>Diprionidae</t>
  </si>
  <si>
    <t>Neodiprion</t>
  </si>
  <si>
    <t>Orthoptera</t>
  </si>
  <si>
    <t>Gryllotalpidae</t>
  </si>
  <si>
    <t>Neoscapteriscus</t>
  </si>
  <si>
    <t>Neovison</t>
  </si>
  <si>
    <t>Nicotiana</t>
  </si>
  <si>
    <t>Delphacidae</t>
  </si>
  <si>
    <t>Nilaparvata</t>
  </si>
  <si>
    <t>Nyctereutes</t>
  </si>
  <si>
    <t>Nymphaeaceae</t>
  </si>
  <si>
    <t>Nymphaea</t>
  </si>
  <si>
    <t>Menyanthaceae</t>
  </si>
  <si>
    <t>Nymphoides</t>
  </si>
  <si>
    <t>Oecophylla</t>
  </si>
  <si>
    <t>Oenothera</t>
  </si>
  <si>
    <t>Salmoniformes</t>
  </si>
  <si>
    <t>Salmonidae</t>
  </si>
  <si>
    <t>Oncorhynchus</t>
  </si>
  <si>
    <t>Cricetidae</t>
  </si>
  <si>
    <t>Ondatra</t>
  </si>
  <si>
    <t>Ophiostomatales</t>
  </si>
  <si>
    <t>Ophiostomataceae</t>
  </si>
  <si>
    <t>Ophiostoma</t>
  </si>
  <si>
    <t>Oecophoridae</t>
  </si>
  <si>
    <t>Opisina</t>
  </si>
  <si>
    <t>Opuntia</t>
  </si>
  <si>
    <t>Cambaridae</t>
  </si>
  <si>
    <t>Orconectes</t>
  </si>
  <si>
    <t>Orgyia</t>
  </si>
  <si>
    <t>Orthriophis</t>
  </si>
  <si>
    <t>Lagomorpha</t>
  </si>
  <si>
    <t>Leporidae</t>
  </si>
  <si>
    <t>Oryctolagus</t>
  </si>
  <si>
    <t>Silvanidae</t>
  </si>
  <si>
    <t>Oryzaephilus</t>
  </si>
  <si>
    <t>Ostrinia</t>
  </si>
  <si>
    <t>Ovis</t>
  </si>
  <si>
    <t>Oxalidales</t>
  </si>
  <si>
    <t>Oxalidaceae</t>
  </si>
  <si>
    <t>Oxalis</t>
  </si>
  <si>
    <t>Oxyura</t>
  </si>
  <si>
    <t>Astacidae</t>
  </si>
  <si>
    <t>Pacifastacus</t>
  </si>
  <si>
    <t>Paguma</t>
  </si>
  <si>
    <t>Panicum</t>
  </si>
  <si>
    <t>Pantoea</t>
  </si>
  <si>
    <t>Dynastidae</t>
  </si>
  <si>
    <t>Papuana</t>
  </si>
  <si>
    <t>Parkinsonia</t>
  </si>
  <si>
    <t>Parthenium</t>
  </si>
  <si>
    <t>Paspalum</t>
  </si>
  <si>
    <t>Passeridae</t>
  </si>
  <si>
    <t>Passer</t>
  </si>
  <si>
    <t>Passifloraceae</t>
  </si>
  <si>
    <t>Passiflora</t>
  </si>
  <si>
    <t>Paulowniaceae</t>
  </si>
  <si>
    <t>Paulownia</t>
  </si>
  <si>
    <t>Pectinophora</t>
  </si>
  <si>
    <t>Geraniales</t>
  </si>
  <si>
    <t>Geraniaceae</t>
  </si>
  <si>
    <t>Pelargonium</t>
  </si>
  <si>
    <t>Trionychidae</t>
  </si>
  <si>
    <t>Pelodiscus</t>
  </si>
  <si>
    <t>Perca</t>
  </si>
  <si>
    <t>Odontobutidae</t>
  </si>
  <si>
    <t>Perccottus</t>
  </si>
  <si>
    <t>Periploca</t>
  </si>
  <si>
    <t>Perkinsiella</t>
  </si>
  <si>
    <t>Laurales</t>
  </si>
  <si>
    <t>Lauraceae</t>
  </si>
  <si>
    <t>Persea</t>
  </si>
  <si>
    <t>Polygonaceae</t>
  </si>
  <si>
    <t>Persicaria</t>
  </si>
  <si>
    <t>Cephalaspidomorphi</t>
  </si>
  <si>
    <t>Petromyzontiformes</t>
  </si>
  <si>
    <t>Petromyzontidae</t>
  </si>
  <si>
    <t>Petromyzon</t>
  </si>
  <si>
    <t>Diprotodontia</t>
  </si>
  <si>
    <t>Phascolarctidae</t>
  </si>
  <si>
    <t>Phascolarctos</t>
  </si>
  <si>
    <t>Phasianus</t>
  </si>
  <si>
    <t>Pheidole</t>
  </si>
  <si>
    <t>Phenacoccus</t>
  </si>
  <si>
    <t>Philornis</t>
  </si>
  <si>
    <t>Phoenix</t>
  </si>
  <si>
    <t>Diaporthales</t>
  </si>
  <si>
    <t>Diaporthaceae</t>
  </si>
  <si>
    <t>Phomopsis</t>
  </si>
  <si>
    <t>Phragmites</t>
  </si>
  <si>
    <t>Phthorimaea</t>
  </si>
  <si>
    <t>Phyllonorycter</t>
  </si>
  <si>
    <t>Phyllotreta</t>
  </si>
  <si>
    <t>Phytolaccaceae</t>
  </si>
  <si>
    <t>Phytolacca</t>
  </si>
  <si>
    <t>Peronosporales</t>
  </si>
  <si>
    <t>Peronosporaceae</t>
  </si>
  <si>
    <t>Phytophthora</t>
  </si>
  <si>
    <t>Pilosella</t>
  </si>
  <si>
    <t>Pinaceae</t>
  </si>
  <si>
    <t>Pinus</t>
  </si>
  <si>
    <t>Pistia</t>
  </si>
  <si>
    <t>Pittosporaceae</t>
  </si>
  <si>
    <t>Pittosporum</t>
  </si>
  <si>
    <t>Platanaceae</t>
  </si>
  <si>
    <t>Platanus</t>
  </si>
  <si>
    <t>Ploceidae</t>
  </si>
  <si>
    <t>Ploceus</t>
  </si>
  <si>
    <t>Plutellidae</t>
  </si>
  <si>
    <t>Plutella</t>
  </si>
  <si>
    <t>Poecilia</t>
  </si>
  <si>
    <t>Rhacophoridae</t>
  </si>
  <si>
    <t>Polypedates</t>
  </si>
  <si>
    <t>Architaenioglossa</t>
  </si>
  <si>
    <t>Ampullariidae</t>
  </si>
  <si>
    <t>Pomacea</t>
  </si>
  <si>
    <t>Rutelidae</t>
  </si>
  <si>
    <t>Popillia</t>
  </si>
  <si>
    <t>Procambarus</t>
  </si>
  <si>
    <t>Procyon</t>
  </si>
  <si>
    <t>Bostrichidae</t>
  </si>
  <si>
    <t>Prostephanus</t>
  </si>
  <si>
    <t>Rosaceae</t>
  </si>
  <si>
    <t>Prunus</t>
  </si>
  <si>
    <t>Pseudaulacaspis</t>
  </si>
  <si>
    <t>Pseudemys</t>
  </si>
  <si>
    <t>Pseudorasbora</t>
  </si>
  <si>
    <t>Sesarmidae</t>
  </si>
  <si>
    <t>Pseudosesarma</t>
  </si>
  <si>
    <t>Pseudotsuga</t>
  </si>
  <si>
    <t>Psittacula</t>
  </si>
  <si>
    <t>Polypodiales</t>
  </si>
  <si>
    <t>Dennstaedtiaceae</t>
  </si>
  <si>
    <t>Pteridium</t>
  </si>
  <si>
    <t>Scorpaeniformes</t>
  </si>
  <si>
    <t>Scorpaenidae</t>
  </si>
  <si>
    <t>Pterois</t>
  </si>
  <si>
    <t>Pucciniaceae</t>
  </si>
  <si>
    <t>Puccinia</t>
  </si>
  <si>
    <t>Pueraria</t>
  </si>
  <si>
    <t>Pueraria montana</t>
  </si>
  <si>
    <t>Pycnonotidae</t>
  </si>
  <si>
    <t>Pycnonotus</t>
  </si>
  <si>
    <t>Pythonidae</t>
  </si>
  <si>
    <t>Python</t>
  </si>
  <si>
    <t>Fagaceae</t>
  </si>
  <si>
    <t>Quercus</t>
  </si>
  <si>
    <t>Hoplolaimidae</t>
  </si>
  <si>
    <t>Radopholus</t>
  </si>
  <si>
    <t>Betaproteobacteria</t>
  </si>
  <si>
    <t>Burkholderiales</t>
  </si>
  <si>
    <t>Burkholderiaceae</t>
  </si>
  <si>
    <t>Ralstonia</t>
  </si>
  <si>
    <t>Rangifer</t>
  </si>
  <si>
    <t>Ranunculales</t>
  </si>
  <si>
    <t>Ranunculaceae</t>
  </si>
  <si>
    <t>Ranunculus</t>
  </si>
  <si>
    <t>Tenuipalpidae</t>
  </si>
  <si>
    <t>Raoiella</t>
  </si>
  <si>
    <t>Rastrococcus</t>
  </si>
  <si>
    <t>Rattus</t>
  </si>
  <si>
    <t>Reynoutria</t>
  </si>
  <si>
    <t>Rhagoletis</t>
  </si>
  <si>
    <t>Bufonidae</t>
  </si>
  <si>
    <t>Rhinella</t>
  </si>
  <si>
    <t>Ixodida</t>
  </si>
  <si>
    <t>Ixodidae</t>
  </si>
  <si>
    <t>Rhipicephalus</t>
  </si>
  <si>
    <t>Ericaceae</t>
  </si>
  <si>
    <t>Rhododendron</t>
  </si>
  <si>
    <t>Rhopalosiphum</t>
  </si>
  <si>
    <t>Rhynchophorus</t>
  </si>
  <si>
    <t>Rhyzopertha</t>
  </si>
  <si>
    <t>Ricinus</t>
  </si>
  <si>
    <t>Robinia</t>
  </si>
  <si>
    <t>Rubus</t>
  </si>
  <si>
    <t>Rudbeckia</t>
  </si>
  <si>
    <t>Rupicapra</t>
  </si>
  <si>
    <t>Rusa</t>
  </si>
  <si>
    <t>Salicaceae</t>
  </si>
  <si>
    <t>Salix</t>
  </si>
  <si>
    <t>Salmo</t>
  </si>
  <si>
    <t>Teiidae</t>
  </si>
  <si>
    <t>Salvator</t>
  </si>
  <si>
    <t>Salvinia</t>
  </si>
  <si>
    <t>Sander</t>
  </si>
  <si>
    <t>Sapindus</t>
  </si>
  <si>
    <t>Saururaceae</t>
  </si>
  <si>
    <t>Saururus</t>
  </si>
  <si>
    <t>Anacardiaceae</t>
  </si>
  <si>
    <t>Schinus</t>
  </si>
  <si>
    <t>Scirtothrips</t>
  </si>
  <si>
    <t>Sciurus</t>
  </si>
  <si>
    <t>Scyphophorus</t>
  </si>
  <si>
    <t>Senecio</t>
  </si>
  <si>
    <t>Siluridae</t>
  </si>
  <si>
    <t>Silurus</t>
  </si>
  <si>
    <t>Unionida</t>
  </si>
  <si>
    <t>Unionidae</t>
  </si>
  <si>
    <t>Sinanodonta</t>
  </si>
  <si>
    <t>Sipha</t>
  </si>
  <si>
    <t>Siricidae</t>
  </si>
  <si>
    <t>Sirex</t>
  </si>
  <si>
    <t>Cecidomyiidae</t>
  </si>
  <si>
    <t>Sitodiplosis</t>
  </si>
  <si>
    <t>Solanum</t>
  </si>
  <si>
    <t>Solenopsis</t>
  </si>
  <si>
    <t>Solidago</t>
  </si>
  <si>
    <t>Sorghum</t>
  </si>
  <si>
    <t>Spartium</t>
  </si>
  <si>
    <t>Bignoniaceae</t>
  </si>
  <si>
    <t>Spathodea</t>
  </si>
  <si>
    <t>Spodoptera</t>
  </si>
  <si>
    <t>Sporobolus</t>
  </si>
  <si>
    <t>Dothideomycetes</t>
  </si>
  <si>
    <t>Pleosporales</t>
  </si>
  <si>
    <t>Didymellaceae</t>
  </si>
  <si>
    <t>Stagonosporopsis</t>
  </si>
  <si>
    <t>Stenocarpella</t>
  </si>
  <si>
    <t>Stenotaphrum</t>
  </si>
  <si>
    <t>Stipa</t>
  </si>
  <si>
    <t>Stomoxys</t>
  </si>
  <si>
    <t>Sturnus</t>
  </si>
  <si>
    <t>Suidae</t>
  </si>
  <si>
    <t>Sus</t>
  </si>
  <si>
    <t>Symmetrischema</t>
  </si>
  <si>
    <t>Chytridiomycota</t>
  </si>
  <si>
    <t>Chytridiomycetes</t>
  </si>
  <si>
    <t>Chytridiales</t>
  </si>
  <si>
    <t>Synchytriaceae</t>
  </si>
  <si>
    <t>Synchytrium</t>
  </si>
  <si>
    <t>Syzygium</t>
  </si>
  <si>
    <t>Taeniothrips</t>
  </si>
  <si>
    <t>Tamaricaceae</t>
  </si>
  <si>
    <t>Tamarix</t>
  </si>
  <si>
    <t>Tamias</t>
  </si>
  <si>
    <t>Tecia</t>
  </si>
  <si>
    <t>Lymantriidae</t>
  </si>
  <si>
    <t>Teia</t>
  </si>
  <si>
    <t>Teredinidae</t>
  </si>
  <si>
    <t>Teredo</t>
  </si>
  <si>
    <t>Tetropium</t>
  </si>
  <si>
    <t>Notodontidae</t>
  </si>
  <si>
    <t>Thaumetopoea</t>
  </si>
  <si>
    <t>Ustilaginomycetes</t>
  </si>
  <si>
    <t>Urocystidales</t>
  </si>
  <si>
    <t>Glomosporiaceae</t>
  </si>
  <si>
    <t>Thecaphora</t>
  </si>
  <si>
    <t>Pelecaniformes</t>
  </si>
  <si>
    <t>Threskiornithidae</t>
  </si>
  <si>
    <t>Threskiornis</t>
  </si>
  <si>
    <t>Thrips</t>
  </si>
  <si>
    <t>Exobasidiomycetes</t>
  </si>
  <si>
    <t>Tilletiales</t>
  </si>
  <si>
    <t>Tilletiaceae</t>
  </si>
  <si>
    <t>Tilletia</t>
  </si>
  <si>
    <t>Trachemys</t>
  </si>
  <si>
    <t>Commelinaceae</t>
  </si>
  <si>
    <t>Tradescantia</t>
  </si>
  <si>
    <t>Trialeurodes</t>
  </si>
  <si>
    <t>Osphronemidae</t>
  </si>
  <si>
    <t>Trichopodus</t>
  </si>
  <si>
    <t>Phalangeridae</t>
  </si>
  <si>
    <t>Trichosurus</t>
  </si>
  <si>
    <t>Triphasia</t>
  </si>
  <si>
    <t>Dermestidae</t>
  </si>
  <si>
    <t>Trogoderma</t>
  </si>
  <si>
    <t>Tuta</t>
  </si>
  <si>
    <t>Tylenchulidae</t>
  </si>
  <si>
    <t>Tylenchulus</t>
  </si>
  <si>
    <t>Typhaceae</t>
  </si>
  <si>
    <t>Typha</t>
  </si>
  <si>
    <t>Ulex</t>
  </si>
  <si>
    <t>Phaeophyceae</t>
  </si>
  <si>
    <t>Laminariales</t>
  </si>
  <si>
    <t>Alariaceae</t>
  </si>
  <si>
    <t>Undaria</t>
  </si>
  <si>
    <t>Uraba</t>
  </si>
  <si>
    <t>Vachellia</t>
  </si>
  <si>
    <t>Mesostigmata</t>
  </si>
  <si>
    <t>Varroidae</t>
  </si>
  <si>
    <t>Varroa</t>
  </si>
  <si>
    <t>Glomerellales</t>
  </si>
  <si>
    <t>Plectosphaerellaceae</t>
  </si>
  <si>
    <t>Verticillium</t>
  </si>
  <si>
    <t>Vespidae</t>
  </si>
  <si>
    <t>Vespa</t>
  </si>
  <si>
    <t>Vespula</t>
  </si>
  <si>
    <t>Vulpes</t>
  </si>
  <si>
    <t>Washingtonia</t>
  </si>
  <si>
    <t>Wasmannia</t>
  </si>
  <si>
    <t>Xanthium</t>
  </si>
  <si>
    <t>Xanthomonadales</t>
  </si>
  <si>
    <t>Xanthomonadaceae</t>
  </si>
  <si>
    <t>Xanthomonas</t>
  </si>
  <si>
    <t>Pipidae</t>
  </si>
  <si>
    <t>Xenopus</t>
  </si>
  <si>
    <t>Xyleborus</t>
  </si>
  <si>
    <t>Yucca</t>
  </si>
  <si>
    <t>Zabrotes</t>
  </si>
  <si>
    <t>Zamenis</t>
  </si>
  <si>
    <t>Zantedeschia</t>
  </si>
  <si>
    <t>Zea</t>
  </si>
  <si>
    <t>Cossidae</t>
  </si>
  <si>
    <t>Zeuzera</t>
  </si>
  <si>
    <t>Ziziphus</t>
  </si>
  <si>
    <t>Zygogramma</t>
  </si>
  <si>
    <t>Zygophyllales</t>
  </si>
  <si>
    <t>Zygophyllaceae</t>
  </si>
  <si>
    <t>Zygophyllum</t>
  </si>
  <si>
    <t>Acanthotomicus</t>
  </si>
  <si>
    <t>Arthurdendyus</t>
  </si>
  <si>
    <t>Batrachochytrium</t>
  </si>
  <si>
    <t>Callistemon</t>
  </si>
  <si>
    <t>Callosobruchus</t>
  </si>
  <si>
    <t>Cirsium</t>
  </si>
  <si>
    <t>Conyza</t>
  </si>
  <si>
    <t>Crematogaster</t>
  </si>
  <si>
    <t>Culex</t>
  </si>
  <si>
    <t>Delia</t>
  </si>
  <si>
    <t>Diaprepes</t>
  </si>
  <si>
    <t>Diploderma</t>
  </si>
  <si>
    <t>Disphyma</t>
  </si>
  <si>
    <t>Drosophyllum</t>
  </si>
  <si>
    <t>Euwallacea</t>
  </si>
  <si>
    <t>Gazania</t>
  </si>
  <si>
    <t>Gomphocarpus</t>
  </si>
  <si>
    <t>Hieracium</t>
  </si>
  <si>
    <t>Hydrangea</t>
  </si>
  <si>
    <t>Larix</t>
  </si>
  <si>
    <t>Melanotus</t>
  </si>
  <si>
    <t>Oligonychus</t>
  </si>
  <si>
    <t>Orobanche</t>
  </si>
  <si>
    <t>Parlatoria</t>
  </si>
  <si>
    <t>Phakopsora</t>
  </si>
  <si>
    <t>Phyllostachys</t>
  </si>
  <si>
    <t>Populus</t>
  </si>
  <si>
    <t>Pratylenchus</t>
  </si>
  <si>
    <t>Premnotrypes</t>
  </si>
  <si>
    <t>Prosopis</t>
  </si>
  <si>
    <t>Pterygoplichthys</t>
  </si>
  <si>
    <t>Scapteriscus</t>
  </si>
  <si>
    <t>Scolytus</t>
  </si>
  <si>
    <t>Spartina</t>
  </si>
  <si>
    <t>Sternochetus</t>
  </si>
  <si>
    <t>Striga</t>
  </si>
  <si>
    <t>Tritimovirus</t>
  </si>
  <si>
    <t>Xylophilus</t>
  </si>
  <si>
    <t>Unit ( )</t>
  </si>
  <si>
    <t>phylum</t>
  </si>
  <si>
    <t>class</t>
  </si>
  <si>
    <t>Animalia</t>
  </si>
  <si>
    <t>Bacteria</t>
  </si>
  <si>
    <t>Chromista</t>
  </si>
  <si>
    <t>Fungi</t>
  </si>
  <si>
    <t>Plantae</t>
  </si>
  <si>
    <t>status</t>
  </si>
  <si>
    <t>kingdom</t>
  </si>
  <si>
    <t>order</t>
  </si>
  <si>
    <t>family</t>
  </si>
  <si>
    <t>genus</t>
  </si>
  <si>
    <t>Accepted_species_name</t>
  </si>
  <si>
    <t>ACCEPTED</t>
  </si>
  <si>
    <t>Unmatch</t>
  </si>
  <si>
    <t>DOUBTFUL</t>
  </si>
  <si>
    <t>SYNONYM</t>
  </si>
  <si>
    <t>Lissachatina fulica</t>
  </si>
  <si>
    <t>Row Labels</t>
  </si>
  <si>
    <t>(blank)</t>
  </si>
  <si>
    <t>Grand Total</t>
  </si>
  <si>
    <t>Count of kingdom</t>
  </si>
  <si>
    <t>Values</t>
  </si>
  <si>
    <t>Count of class</t>
  </si>
  <si>
    <t>Chrodata</t>
  </si>
  <si>
    <t>Count of order</t>
  </si>
  <si>
    <t>ORDERS</t>
  </si>
  <si>
    <t>Diverse\Unspecified</t>
  </si>
  <si>
    <t>Divers\Unspecified</t>
  </si>
  <si>
    <t>FAMILIES</t>
  </si>
  <si>
    <t>Phylum</t>
  </si>
  <si>
    <t>Class</t>
  </si>
  <si>
    <t>Europe</t>
  </si>
  <si>
    <t>Ammotragus lervia</t>
  </si>
  <si>
    <t xml:space="preserve">Ammotragus </t>
  </si>
  <si>
    <t>Geoplanidae</t>
  </si>
  <si>
    <t>Rhabditophora</t>
  </si>
  <si>
    <t>Tricladida</t>
  </si>
  <si>
    <t>Rhizophydiales</t>
  </si>
  <si>
    <t>Lachnidae</t>
  </si>
  <si>
    <t>Anthomyiidae</t>
  </si>
  <si>
    <t>Agamidae</t>
  </si>
  <si>
    <t>Lepidosauria</t>
  </si>
  <si>
    <t>Drosophyllaceae</t>
  </si>
  <si>
    <t>Hydrangeaceae</t>
  </si>
  <si>
    <t>Cornales</t>
  </si>
  <si>
    <t>Strophariaceae</t>
  </si>
  <si>
    <t>Agaricales</t>
  </si>
  <si>
    <t>Trombidiformes</t>
  </si>
  <si>
    <t>Orobanchaceae</t>
  </si>
  <si>
    <t>Brassicaceae</t>
  </si>
  <si>
    <t>Brassicales</t>
  </si>
  <si>
    <t>Phakopsoraceae</t>
  </si>
  <si>
    <t>Pratylenchidae</t>
  </si>
  <si>
    <t>Chromadorea</t>
  </si>
  <si>
    <t>Loricariidae</t>
  </si>
  <si>
    <t>Actinopteri</t>
  </si>
  <si>
    <t>Oceania</t>
  </si>
  <si>
    <t>Pacific Islands</t>
  </si>
  <si>
    <t>Angola</t>
  </si>
  <si>
    <t>Argentina</t>
  </si>
  <si>
    <t>Australia</t>
  </si>
  <si>
    <t>Austria</t>
  </si>
  <si>
    <t>Bahamas</t>
  </si>
  <si>
    <t>Bangladesh</t>
  </si>
  <si>
    <t>Belgium</t>
  </si>
  <si>
    <t>Belize</t>
  </si>
  <si>
    <t>Benin</t>
  </si>
  <si>
    <t>Bhutan</t>
  </si>
  <si>
    <t>Bolivia</t>
  </si>
  <si>
    <t>Brazil</t>
  </si>
  <si>
    <t>Brunei</t>
  </si>
  <si>
    <t>Bulgaria</t>
  </si>
  <si>
    <t>Burkina Faso</t>
  </si>
  <si>
    <t>Cambodia</t>
  </si>
  <si>
    <t>Cameroon</t>
  </si>
  <si>
    <t>Canada</t>
  </si>
  <si>
    <t>Central African Republic</t>
  </si>
  <si>
    <t>Chile</t>
  </si>
  <si>
    <t>China</t>
  </si>
  <si>
    <t>Colombia</t>
  </si>
  <si>
    <t>Comoros</t>
  </si>
  <si>
    <t>Costa Rica</t>
  </si>
  <si>
    <t>Cuba</t>
  </si>
  <si>
    <t>Cyprus</t>
  </si>
  <si>
    <t>Denmark</t>
  </si>
  <si>
    <t>Dominican Republic</t>
  </si>
  <si>
    <t>Ecuador</t>
  </si>
  <si>
    <t>Egypt</t>
  </si>
  <si>
    <t>Estonia</t>
  </si>
  <si>
    <t>Ethiopia</t>
  </si>
  <si>
    <t>Fiji</t>
  </si>
  <si>
    <t>Finland</t>
  </si>
  <si>
    <t>France</t>
  </si>
  <si>
    <t>Georgia</t>
  </si>
  <si>
    <t>Germany</t>
  </si>
  <si>
    <t>Ghana</t>
  </si>
  <si>
    <t>Greece</t>
  </si>
  <si>
    <t>Grenada</t>
  </si>
  <si>
    <t>Guatemala</t>
  </si>
  <si>
    <t>Guinea-Bissau</t>
  </si>
  <si>
    <t>Honduras</t>
  </si>
  <si>
    <t>Hungary</t>
  </si>
  <si>
    <t>India</t>
  </si>
  <si>
    <t>Indonesia</t>
  </si>
  <si>
    <t>Ireland</t>
  </si>
  <si>
    <t>Israel</t>
  </si>
  <si>
    <t>Italy</t>
  </si>
  <si>
    <t>Japan</t>
  </si>
  <si>
    <t>Kenya</t>
  </si>
  <si>
    <t>Laos</t>
  </si>
  <si>
    <t>Latvia</t>
  </si>
  <si>
    <t>Libya</t>
  </si>
  <si>
    <t>Lithuania</t>
  </si>
  <si>
    <t>Madagascar</t>
  </si>
  <si>
    <t>Malawi</t>
  </si>
  <si>
    <t>Malaysia</t>
  </si>
  <si>
    <t>Maldives</t>
  </si>
  <si>
    <t>Mali</t>
  </si>
  <si>
    <t>Malta</t>
  </si>
  <si>
    <t>Mauritius</t>
  </si>
  <si>
    <t>Mexico</t>
  </si>
  <si>
    <t>Morocco</t>
  </si>
  <si>
    <t>Myanmar</t>
  </si>
  <si>
    <t>Netherlands</t>
  </si>
  <si>
    <t>New Zealand</t>
  </si>
  <si>
    <t>Nicaragua</t>
  </si>
  <si>
    <t>Nigeria</t>
  </si>
  <si>
    <t>Norway</t>
  </si>
  <si>
    <t>Pakistan</t>
  </si>
  <si>
    <t>Panama</t>
  </si>
  <si>
    <t>Papua New Guinea</t>
  </si>
  <si>
    <t>Paraguay</t>
  </si>
  <si>
    <t>Peru</t>
  </si>
  <si>
    <t>Philippines</t>
  </si>
  <si>
    <t>Portugal</t>
  </si>
  <si>
    <t>Romania</t>
  </si>
  <si>
    <t>Russia</t>
  </si>
  <si>
    <t>Senegal</t>
  </si>
  <si>
    <t>Seychelles</t>
  </si>
  <si>
    <t>Singapore</t>
  </si>
  <si>
    <t>South Africa</t>
  </si>
  <si>
    <t>South Korea</t>
  </si>
  <si>
    <t>Spain</t>
  </si>
  <si>
    <t>Sri Lanka</t>
  </si>
  <si>
    <t>St. Kitts and Nevis</t>
  </si>
  <si>
    <t>St. Lucia</t>
  </si>
  <si>
    <t>St. Vincent and the Grenadines</t>
  </si>
  <si>
    <t>Suriname</t>
  </si>
  <si>
    <t>Sweden</t>
  </si>
  <si>
    <t>Taiwan</t>
  </si>
  <si>
    <t>Tanzania</t>
  </si>
  <si>
    <t>Thailand</t>
  </si>
  <si>
    <t>Togo</t>
  </si>
  <si>
    <t>Trinidad and Tobago</t>
  </si>
  <si>
    <t>Turkey</t>
  </si>
  <si>
    <t>Uganda</t>
  </si>
  <si>
    <t>Ukraine</t>
  </si>
  <si>
    <t>United Kingdom</t>
  </si>
  <si>
    <t>Uruguay</t>
  </si>
  <si>
    <t>Venezuela</t>
  </si>
  <si>
    <t>Vietnam</t>
  </si>
  <si>
    <t>Zambia</t>
  </si>
  <si>
    <r>
      <rPr>
        <b/>
        <sz val="14"/>
        <color indexed="48"/>
        <rFont val="Arial"/>
        <family val="2"/>
      </rPr>
      <t>2.</t>
    </r>
    <r>
      <rPr>
        <sz val="14"/>
        <color indexed="8"/>
        <rFont val="Arial"/>
        <family val="2"/>
      </rPr>
      <t xml:space="preserve"> Template has drop-down lists on columns that have predeterminated options. </t>
    </r>
  </si>
  <si>
    <r>
      <rPr>
        <b/>
        <sz val="14"/>
        <color indexed="48"/>
        <rFont val="Arial"/>
        <family val="2"/>
      </rPr>
      <t>1.</t>
    </r>
    <r>
      <rPr>
        <sz val="14"/>
        <color indexed="8"/>
        <rFont val="Arial"/>
        <family val="2"/>
      </rPr>
      <t xml:space="preserve"> </t>
    </r>
    <r>
      <rPr>
        <b/>
        <sz val="14"/>
        <color indexed="8"/>
        <rFont val="Arial"/>
        <family val="2"/>
      </rPr>
      <t xml:space="preserve">CAUTION: </t>
    </r>
    <r>
      <rPr>
        <sz val="14"/>
        <color indexed="8"/>
        <rFont val="Arial"/>
        <family val="2"/>
      </rPr>
      <t xml:space="preserve">The columns refering to the taxonomical hierachy namely: (Kingdom, Phylum, Class, Order, Family and Genus) </t>
    </r>
    <r>
      <rPr>
        <b/>
        <sz val="14"/>
        <color indexed="8"/>
        <rFont val="Arial"/>
        <family val="2"/>
      </rPr>
      <t>have a fomula so be careful</t>
    </r>
    <r>
      <rPr>
        <sz val="14"/>
        <color indexed="8"/>
        <rFont val="Arial"/>
        <family val="2"/>
      </rPr>
      <t xml:space="preserve"> not to overwrite them or delete their contents.</t>
    </r>
  </si>
  <si>
    <r>
      <rPr>
        <b/>
        <sz val="14"/>
        <color indexed="48"/>
        <rFont val="Arial"/>
        <family val="2"/>
      </rPr>
      <t>4.</t>
    </r>
    <r>
      <rPr>
        <sz val="14"/>
        <rFont val="Arial"/>
        <family val="2"/>
      </rPr>
      <t xml:space="preserve"> For the field columns: "Repository", "Geographic_region", "Official_Country", "Spatial_scale", "Impacted_sector"  there is the possibility to add new terms to these fields by clicking "Yes" in the warning message, Although we encourage to use the one predetermined as much as possible. </t>
    </r>
  </si>
  <si>
    <r>
      <rPr>
        <b/>
        <sz val="14"/>
        <color indexed="48"/>
        <rFont val="Arial"/>
        <family val="2"/>
      </rPr>
      <t>5.</t>
    </r>
    <r>
      <rPr>
        <sz val="14"/>
        <rFont val="Arial"/>
        <family val="2"/>
      </rPr>
      <t xml:space="preserve"> If the "Spatial_scale" is </t>
    </r>
    <r>
      <rPr>
        <b/>
        <sz val="14"/>
        <rFont val="Arial"/>
        <family val="2"/>
      </rPr>
      <t>Unit ()</t>
    </r>
    <r>
      <rPr>
        <sz val="14"/>
        <rFont val="Arial"/>
        <family val="2"/>
      </rPr>
      <t>, you can write in between the brackets the unit you need and hit yes when the warning message shows up.</t>
    </r>
  </si>
  <si>
    <r>
      <rPr>
        <b/>
        <sz val="14"/>
        <color indexed="48"/>
        <rFont val="Arial"/>
        <family val="2"/>
      </rPr>
      <t>7.</t>
    </r>
    <r>
      <rPr>
        <sz val="14"/>
        <color indexed="8"/>
        <rFont val="Arial"/>
        <family val="2"/>
      </rPr>
      <t xml:space="preserve"> When filling up the taxonomy, </t>
    </r>
    <r>
      <rPr>
        <b/>
        <sz val="14"/>
        <color indexed="8"/>
        <rFont val="Arial"/>
        <family val="2"/>
      </rPr>
      <t>first start</t>
    </r>
    <r>
      <rPr>
        <sz val="14"/>
        <color indexed="8"/>
        <rFont val="Arial"/>
        <family val="2"/>
      </rPr>
      <t xml:space="preserve"> with the </t>
    </r>
    <r>
      <rPr>
        <b/>
        <sz val="14"/>
        <color indexed="8"/>
        <rFont val="Arial"/>
        <family val="2"/>
      </rPr>
      <t>species_name</t>
    </r>
    <r>
      <rPr>
        <sz val="14"/>
        <color indexed="8"/>
        <rFont val="Arial"/>
        <family val="2"/>
      </rPr>
      <t xml:space="preserve"> (paying attention to the spelling) or choose one from the &gt;700 names in the list that will drop-down. </t>
    </r>
  </si>
  <si>
    <r>
      <rPr>
        <b/>
        <sz val="14"/>
        <color indexed="48"/>
        <rFont val="Arial"/>
        <family val="2"/>
      </rPr>
      <t>8.</t>
    </r>
    <r>
      <rPr>
        <sz val="14"/>
        <color indexed="8"/>
        <rFont val="Arial"/>
        <family val="2"/>
      </rPr>
      <t xml:space="preserve"> Once you have written the species name, the taxonomy hierachy will populate automatically. </t>
    </r>
  </si>
  <si>
    <r>
      <rPr>
        <b/>
        <sz val="14"/>
        <color indexed="48"/>
        <rFont val="Arial"/>
        <family val="2"/>
      </rPr>
      <t>9</t>
    </r>
    <r>
      <rPr>
        <b/>
        <sz val="14"/>
        <color indexed="48"/>
        <rFont val="Arial"/>
        <family val="2"/>
      </rPr>
      <t>.</t>
    </r>
    <r>
      <rPr>
        <sz val="14"/>
        <color indexed="8"/>
        <rFont val="Arial"/>
        <family val="2"/>
      </rPr>
      <t xml:space="preserve"> Since in many documents species are written as generic names like Pinus sp. or Pinus spp. we have included the most common ones in the list, therefore they</t>
    </r>
    <r>
      <rPr>
        <sz val="14"/>
        <color indexed="8"/>
        <rFont val="Arial"/>
        <family val="2"/>
      </rPr>
      <t xml:space="preserve"> will</t>
    </r>
    <r>
      <rPr>
        <sz val="14"/>
        <color indexed="8"/>
        <rFont val="Arial"/>
        <family val="2"/>
      </rPr>
      <t xml:space="preserve"> get populated even though they are not scientific names per se. </t>
    </r>
  </si>
  <si>
    <r>
      <rPr>
        <b/>
        <sz val="14"/>
        <color indexed="48"/>
        <rFont val="Arial"/>
        <family val="2"/>
      </rPr>
      <t>11.</t>
    </r>
    <r>
      <rPr>
        <sz val="14"/>
        <color indexed="8"/>
        <rFont val="Arial"/>
        <family val="2"/>
      </rPr>
      <t xml:space="preserve"> If you delete the name entered in the species column the taxonomical hierarchy columns will clear up automatically.</t>
    </r>
  </si>
  <si>
    <t>Please read this before using the template!!!</t>
  </si>
  <si>
    <r>
      <rPr>
        <b/>
        <sz val="14"/>
        <color indexed="48"/>
        <rFont val="Arial"/>
        <family val="2"/>
      </rPr>
      <t>3.</t>
    </r>
    <r>
      <rPr>
        <sz val="14"/>
        <color indexed="8"/>
        <rFont val="Arial"/>
        <family val="2"/>
      </rPr>
      <t xml:space="preserve"> For the field columns: "Availability", "Environment", "Time range", "Occurrence", "Type of applicable year", Implementation", "Adquisition_method", "Method_reliability", "Benefit</t>
    </r>
    <r>
      <rPr>
        <sz val="14"/>
        <color indexed="8"/>
        <rFont val="Arial"/>
        <family val="2"/>
      </rPr>
      <t>_value(s)</t>
    </r>
    <r>
      <rPr>
        <sz val="14"/>
        <color indexed="8"/>
        <rFont val="Arial"/>
        <family val="2"/>
      </rPr>
      <t>","Island", "Habitat", and "protected_areas"</t>
    </r>
    <r>
      <rPr>
        <b/>
        <sz val="14"/>
        <color indexed="8"/>
        <rFont val="Arial"/>
        <family val="2"/>
      </rPr>
      <t xml:space="preserve"> there is </t>
    </r>
    <r>
      <rPr>
        <b/>
        <sz val="14"/>
        <color indexed="8"/>
        <rFont val="Arial"/>
        <family val="2"/>
      </rPr>
      <t>no</t>
    </r>
    <r>
      <rPr>
        <b/>
        <sz val="14"/>
        <color indexed="8"/>
        <rFont val="Arial"/>
        <family val="2"/>
      </rPr>
      <t xml:space="preserve"> possibility</t>
    </r>
    <r>
      <rPr>
        <sz val="14"/>
        <color indexed="8"/>
        <rFont val="Arial"/>
        <family val="2"/>
      </rPr>
      <t xml:space="preserve"> to write something out of the list.</t>
    </r>
  </si>
  <si>
    <r>
      <rPr>
        <b/>
        <sz val="14"/>
        <color indexed="48"/>
        <rFont val="Arial"/>
        <family val="2"/>
      </rPr>
      <t>10</t>
    </r>
    <r>
      <rPr>
        <b/>
        <sz val="14"/>
        <color indexed="48"/>
        <rFont val="Arial"/>
        <family val="2"/>
      </rPr>
      <t>.</t>
    </r>
    <r>
      <rPr>
        <sz val="12"/>
        <color theme="1"/>
        <rFont val="Calibri"/>
        <family val="2"/>
        <scheme val="minor"/>
      </rPr>
      <t xml:space="preserve"> </t>
    </r>
    <r>
      <rPr>
        <sz val="14"/>
        <color indexed="8"/>
        <rFont val="Arial"/>
        <family val="2"/>
      </rPr>
      <t xml:space="preserve">If you have to write </t>
    </r>
    <r>
      <rPr>
        <b/>
        <sz val="14"/>
        <color indexed="8"/>
        <rFont val="Arial"/>
        <family val="2"/>
      </rPr>
      <t>Diverse/Unspecified</t>
    </r>
    <r>
      <rPr>
        <sz val="14"/>
        <color indexed="8"/>
        <rFont val="Arial"/>
        <family val="2"/>
      </rPr>
      <t xml:space="preserve"> in the </t>
    </r>
    <r>
      <rPr>
        <b/>
        <sz val="14"/>
        <color indexed="8"/>
        <rFont val="Arial"/>
        <family val="2"/>
      </rPr>
      <t>"species_name"</t>
    </r>
    <r>
      <rPr>
        <sz val="14"/>
        <color indexed="8"/>
        <rFont val="Arial"/>
        <family val="2"/>
      </rPr>
      <t xml:space="preserve"> column, </t>
    </r>
    <r>
      <rPr>
        <sz val="14"/>
        <color indexed="8"/>
        <rFont val="Arial"/>
        <family val="2"/>
      </rPr>
      <t xml:space="preserve">the taxonomical hierarchy </t>
    </r>
    <r>
      <rPr>
        <sz val="14"/>
        <color indexed="8"/>
        <rFont val="Arial"/>
        <family val="2"/>
      </rPr>
      <t>it will also get populated with "Diverse/Unspecified"</t>
    </r>
    <r>
      <rPr>
        <sz val="14"/>
        <color indexed="8"/>
        <rFont val="Arial"/>
        <family val="2"/>
      </rPr>
      <t>, but you can write over if there is more precise information.</t>
    </r>
  </si>
  <si>
    <r>
      <rPr>
        <b/>
        <sz val="14"/>
        <color indexed="48"/>
        <rFont val="Arial"/>
        <family val="2"/>
      </rPr>
      <t>12.</t>
    </r>
    <r>
      <rPr>
        <sz val="14"/>
        <color indexed="8"/>
        <rFont val="Arial"/>
        <family val="2"/>
      </rPr>
      <t xml:space="preserve"> If the hierachy does not populate automatically but the species name has the correct spelling there might be one of two reasons.</t>
    </r>
    <r>
      <rPr>
        <b/>
        <sz val="14"/>
        <color indexed="48"/>
        <rFont val="Arial"/>
        <family val="2"/>
      </rPr>
      <t xml:space="preserve"> a)</t>
    </r>
    <r>
      <rPr>
        <sz val="14"/>
        <color indexed="8"/>
        <rFont val="Arial"/>
        <family val="2"/>
      </rPr>
      <t xml:space="preserve"> It is a synonym of a species in our list in which case please refer to gbif.org to check out the current taxonomy.</t>
    </r>
    <r>
      <rPr>
        <b/>
        <sz val="14"/>
        <color indexed="8"/>
        <rFont val="Arial"/>
        <family val="2"/>
      </rPr>
      <t xml:space="preserve"> </t>
    </r>
    <r>
      <rPr>
        <b/>
        <sz val="14"/>
        <color indexed="48"/>
        <rFont val="Arial"/>
        <family val="2"/>
      </rPr>
      <t>b)</t>
    </r>
    <r>
      <rPr>
        <sz val="14"/>
        <color indexed="8"/>
        <rFont val="Arial"/>
        <family val="2"/>
      </rPr>
      <t xml:space="preserve"> It is not in our list, therefore it is a new addition. In this case please fill up the taxonomical hierarchy and alert the updates team at </t>
    </r>
    <r>
      <rPr>
        <b/>
        <sz val="14"/>
        <color indexed="8"/>
        <rFont val="Arial"/>
        <family val="2"/>
      </rPr>
      <t>updates@invacost.fr</t>
    </r>
  </si>
  <si>
    <t>The numerical identifier of the material analysed, for correspondence with bibliographic details</t>
  </si>
  <si>
    <t>as stated in the material</t>
  </si>
  <si>
    <t>The cost estimate directly retrieved from the analysed materials</t>
  </si>
  <si>
    <t>The year of the ‘Currency’ value (not the year of the cost occurrence) considered for the conversion/standardization of the cost estimate</t>
  </si>
  <si>
    <t>use the classification provided below: "Habitat code"</t>
  </si>
  <si>
    <t>Y</t>
  </si>
  <si>
    <t>Please, for Non English add the acronym of your language + number, ex UKR_1</t>
  </si>
  <si>
    <t>ENVIRONMENT</t>
  </si>
  <si>
    <t>SPATIAL SCALE (descending order, from big to small)</t>
  </si>
  <si>
    <t>Search acronyms here: https://www.countries-ofthe-world.com/world-currencies.html</t>
  </si>
  <si>
    <t>Acquisition_Method</t>
  </si>
  <si>
    <t>Benefit_value</t>
  </si>
  <si>
    <t>NA if not stated or unknown or many habitat types</t>
  </si>
  <si>
    <t>N</t>
  </si>
  <si>
    <t>NA - if no previous material</t>
  </si>
  <si>
    <t>No</t>
  </si>
  <si>
    <t>Terrestrial</t>
  </si>
  <si>
    <t>Period</t>
  </si>
  <si>
    <t>One-time</t>
  </si>
  <si>
    <t>Effective</t>
  </si>
  <si>
    <t>Observed</t>
  </si>
  <si>
    <t>High</t>
  </si>
  <si>
    <t>NA</t>
  </si>
  <si>
    <t>Go</t>
  </si>
  <si>
    <t>Otherwise, add reference of previous material</t>
  </si>
  <si>
    <t>Yes</t>
  </si>
  <si>
    <t>Aquatic</t>
  </si>
  <si>
    <t>Africa/Asia/Europa</t>
  </si>
  <si>
    <t>Year</t>
  </si>
  <si>
    <t>Potentially ongoing</t>
  </si>
  <si>
    <t>Publication year</t>
  </si>
  <si>
    <t>Potential</t>
  </si>
  <si>
    <t>Report/Estimation</t>
  </si>
  <si>
    <t>Low</t>
  </si>
  <si>
    <t>GS</t>
  </si>
  <si>
    <t>Semi-aquatic</t>
  </si>
  <si>
    <t>Extrapolation</t>
  </si>
  <si>
    <t>TC</t>
  </si>
  <si>
    <t>The accessibility of the material as a searchable document (yes/no)</t>
  </si>
  <si>
    <t>Asia/Europa</t>
  </si>
  <si>
    <t>Period if the estimate is given for a period exceeding a year</t>
  </si>
  <si>
    <t>One-time: if the cost was deemed as unlikely to continue</t>
  </si>
  <si>
    <t>Description:</t>
  </si>
  <si>
    <t>WoS</t>
  </si>
  <si>
    <t>Year if the estimate is given yearly or for a period up to one year</t>
  </si>
  <si>
    <t xml:space="preserve">Effective: the assessment of the applicable year as effective if explicitly stated by the authors </t>
  </si>
  <si>
    <t>Central America/North America</t>
  </si>
  <si>
    <t>Publication year: if no explicit information provided</t>
  </si>
  <si>
    <t>Central America/North America/South America</t>
  </si>
  <si>
    <t>Y for island</t>
  </si>
  <si>
    <t>Y if the costs are for a protected area(s)</t>
  </si>
  <si>
    <t xml:space="preserve"> 'Google search engine (Go)'</t>
  </si>
  <si>
    <t>Central America/Oceania-Pacific islands</t>
  </si>
  <si>
    <t>Unit (0.28 Ha)</t>
  </si>
  <si>
    <t>Observed: whether the reported cost was actually observed (i.e. cost actually incurred) at the time of the estimation</t>
  </si>
  <si>
    <t>N for mainland</t>
  </si>
  <si>
    <t>copy from the source the explanation of the "habitat" or studied site/area/system</t>
  </si>
  <si>
    <t>N no protected area</t>
  </si>
  <si>
    <t xml:space="preserve"> 'Google Scholar (GS)',</t>
  </si>
  <si>
    <t>Central America/South America</t>
  </si>
  <si>
    <t>Unit (1 paper company)</t>
  </si>
  <si>
    <t>Potential: whether the reported cost was potential (i.e. not incurred but expected cost) at the time of the estimation</t>
  </si>
  <si>
    <t>NA if not stated or unknown or protected+unprotected areas</t>
  </si>
  <si>
    <t>‘Targeted collection (TC)'</t>
  </si>
  <si>
    <t>Unit (1,000 Ha)</t>
  </si>
  <si>
    <t>Description impacted_sector categories</t>
  </si>
  <si>
    <t xml:space="preserve"> 'Web of Science (WoS)',</t>
  </si>
  <si>
    <t>Europa</t>
  </si>
  <si>
    <t>Unit (1,000 Km)</t>
  </si>
  <si>
    <t>Agriculture: Considered at its broadest sense, food and other useful products produced by human activities through using natural and/plant resources from their ecosystems (e.g.  crop growing, livestock breeding, beekeeping, land management)</t>
  </si>
  <si>
    <t>Europa/North America</t>
  </si>
  <si>
    <t>Authorities-Stakeholders: Governmental services and/or official organisations (e.g. conservation agencies, forest services, associations) that allocate efforts for the management sensu lato of biological invasions (e.g. control programs, eradication campaigns, research funding) </t>
  </si>
  <si>
    <t>Environment: Impacts on natural resources, ecological processes and/or ecosystem services that have been valued by authors such as disruption of native habitats or degradation of local habitats</t>
  </si>
  <si>
    <t>North America/Oceania</t>
  </si>
  <si>
    <t>Fishery: Fish-based activities and services such as fishing and aquaculture</t>
  </si>
  <si>
    <t>Habitat code</t>
  </si>
  <si>
    <t>Habitat type</t>
  </si>
  <si>
    <t>Description</t>
  </si>
  <si>
    <t>Oceania-Pacific islands</t>
  </si>
  <si>
    <t>Forestry: Forest-based activities and services such as timber production/industries and private forests</t>
  </si>
  <si>
    <t>Forests</t>
  </si>
  <si>
    <t>closed vegetation dominated by deciduous or evergreen trees</t>
  </si>
  <si>
    <t>Oceania/South America</t>
  </si>
  <si>
    <t>Health: Every item directly or indirectly related to the sanitary state of people such as vector control, medical care and other derived damage on human productivity and well-being</t>
  </si>
  <si>
    <t>Open forests</t>
  </si>
  <si>
    <t>woodland vegetation with canopy openings created by environmental stress or disturbance</t>
  </si>
  <si>
    <t>Public and social welfare: Activities, goods or services contributing - directly or indirectly - to the human well-being and safety in our societies, including local infrastructures (e.g. electric system), quality of life (e.g. income, recreational activities), personal goods (e.g. private properties, lands), public services (e.g. transports, water regulation), and market activities (e.g. tourism, trade)</t>
  </si>
  <si>
    <t>Scrub</t>
  </si>
  <si>
    <t xml:space="preserve">shrublands mantained by environmental stress (aridity) or disturbance </t>
  </si>
  <si>
    <t>Grasslands</t>
  </si>
  <si>
    <t>open graminoid-dominated habitats maintained either by climate (steppes, prairies, savannas) or land-use (grazing, mowing) or combination of both. If possible, specify if it corresponds with 4a or 4b</t>
  </si>
  <si>
    <t>Unit (1,746 Km²)</t>
  </si>
  <si>
    <t>4a</t>
  </si>
  <si>
    <t>Natural grasslands</t>
  </si>
  <si>
    <t>4b</t>
  </si>
  <si>
    <t>Human-maintained grasslands</t>
  </si>
  <si>
    <t>Sandy</t>
  </si>
  <si>
    <t xml:space="preserve">dunes and other habitats on unstable sandy substrate, stressed by low nutrients, drought and disturbed by sand movement </t>
  </si>
  <si>
    <t>Unit (1.2 million ha land area managed)</t>
  </si>
  <si>
    <t>Rocky</t>
  </si>
  <si>
    <t>cliffs and rock outcrops with very shallow or no soil</t>
  </si>
  <si>
    <t>Dryland</t>
  </si>
  <si>
    <t>habitats in which drought stress limits vegetation development</t>
  </si>
  <si>
    <t>Unit (10,000 acres of water treated)</t>
  </si>
  <si>
    <t>Saline</t>
  </si>
  <si>
    <t>habitats stressed by high soil salinity</t>
  </si>
  <si>
    <t>Riparian</t>
  </si>
  <si>
    <t>a mosaic of wetlands, grasslands, tall-forb stands, scrub and woodlands in stream corridors</t>
  </si>
  <si>
    <t>Wetland</t>
  </si>
  <si>
    <t>sites with permanent or seasonal influence of moisture, ranging from oligotrophic to eutrophic</t>
  </si>
  <si>
    <t>water bodies and streams with submerged and floating plant species</t>
  </si>
  <si>
    <t>Man-made</t>
  </si>
  <si>
    <t>habitats created by humans or where human factor is the main shaping force. If possible, specify if it corresponds with 12a or 12b</t>
  </si>
  <si>
    <t>12a</t>
  </si>
  <si>
    <t>Ruderal habitats (= urban)</t>
  </si>
  <si>
    <t>12b</t>
  </si>
  <si>
    <t>Agricultural habitats</t>
  </si>
  <si>
    <t>Unit (2 Landholders)</t>
  </si>
  <si>
    <t>Unit (230,000 cottages)</t>
  </si>
  <si>
    <t>Unit (300,000 ha and 500 km of creek line)</t>
  </si>
  <si>
    <t>Unit (339 facilities)</t>
  </si>
  <si>
    <t>Unit (420 water companies)</t>
  </si>
  <si>
    <t>Unit (437,000 ha plus 25% share of Ningaloo Station)</t>
  </si>
  <si>
    <t>Unit (46 plants)</t>
  </si>
  <si>
    <t>Unit (5 ponds)</t>
  </si>
  <si>
    <t>Unit (75 km long river stretch)</t>
  </si>
  <si>
    <t>Unit (8 power plants)</t>
  </si>
  <si>
    <t>Unit (Airport)</t>
  </si>
  <si>
    <t>Unit (Animal)</t>
  </si>
  <si>
    <t>Unit (Bait)</t>
  </si>
  <si>
    <t>Unit (barrier, 80 Km)</t>
  </si>
  <si>
    <t>Unit (Basin)</t>
  </si>
  <si>
    <t>Unit (beech plantation)</t>
  </si>
  <si>
    <t>Unit (Bundle)</t>
  </si>
  <si>
    <t>Unit (Day)</t>
  </si>
  <si>
    <t>Unit (Farmer)</t>
  </si>
  <si>
    <t>Unit (Forest)</t>
  </si>
  <si>
    <t>Unit (Gardens/golf courses)</t>
  </si>
  <si>
    <t>Unit (Hole)</t>
  </si>
  <si>
    <t>Unit (Hour)</t>
  </si>
  <si>
    <t>Unit (Household)</t>
  </si>
  <si>
    <t>Unit (Lake)</t>
  </si>
  <si>
    <t>Unit (material)</t>
  </si>
  <si>
    <t>Unit (Meter)</t>
  </si>
  <si>
    <t>Unit (National park)</t>
  </si>
  <si>
    <t>Unit (Park)</t>
  </si>
  <si>
    <t>Unit (Patient)</t>
  </si>
  <si>
    <t>Unit (People)</t>
  </si>
  <si>
    <t>Unit (plant)</t>
  </si>
  <si>
    <t>Unit (Property)</t>
  </si>
  <si>
    <t>Unit (Railway)</t>
  </si>
  <si>
    <t>Unit (Reserve)</t>
  </si>
  <si>
    <t>Unit (River)</t>
  </si>
  <si>
    <t>Unit (River/140,000 Km²)</t>
  </si>
  <si>
    <t>Unit (several ships)</t>
  </si>
  <si>
    <t>Unit (Species)</t>
  </si>
  <si>
    <t>Unit (Trap)</t>
  </si>
  <si>
    <t>Unit (water user)</t>
  </si>
  <si>
    <t>Language</t>
  </si>
  <si>
    <t>Refers to the language in which the document was written</t>
  </si>
  <si>
    <t>Categories (it is possible to include others):</t>
  </si>
  <si>
    <t>English</t>
  </si>
  <si>
    <t>Chinese</t>
  </si>
  <si>
    <t>Dutch</t>
  </si>
  <si>
    <t>French</t>
  </si>
  <si>
    <t>German</t>
  </si>
  <si>
    <t>Greek</t>
  </si>
  <si>
    <t>Japanese</t>
  </si>
  <si>
    <t>Portuguese</t>
  </si>
  <si>
    <t>Russian</t>
  </si>
  <si>
    <t>Spanish</t>
  </si>
  <si>
    <t>Ukranian</t>
  </si>
  <si>
    <t>Specific location name where the cost occurred</t>
  </si>
  <si>
    <t xml:space="preserve">In the case of a cost estimate provided for a one-year period straddling two calendar years, we mentioned the latest year of the cost occurrence in both columns. </t>
  </si>
  <si>
    <t xml:space="preserve">When vague formulations were used (e.g. early 90’s), we still translated them in probable ending/starting year (e.g. 1990-1995). </t>
  </si>
  <si>
    <t>Management_type</t>
  </si>
  <si>
    <t>copy the text of the abstract for each reference</t>
  </si>
  <si>
    <t xml:space="preserve">(in case there is no abstract -- executive summary, or first page of text) </t>
  </si>
  <si>
    <t>Prefilled when entering the species name</t>
  </si>
  <si>
    <t>For species (or kindom, phylum, etc) check here the species name: https://www.gbif.org/en/</t>
  </si>
  <si>
    <t>Sub-species</t>
  </si>
  <si>
    <t>Environment_IAS</t>
  </si>
  <si>
    <t>where the cost estimate occurred</t>
  </si>
  <si>
    <t>where the invasive species lives</t>
  </si>
  <si>
    <t>State|Province|Administrative_area</t>
  </si>
  <si>
    <t>NA if not stated or unknown</t>
  </si>
  <si>
    <t>(some examples for Units are given, it is possible to include others)</t>
  </si>
  <si>
    <t>Year X</t>
  </si>
  <si>
    <t>Year Y</t>
  </si>
  <si>
    <t>unspecified</t>
  </si>
  <si>
    <t>potentially ongoing: if the cost can be expected to continue over time</t>
  </si>
  <si>
    <t>Currency of the cost in the original reference</t>
  </si>
  <si>
    <t>Report/Estimation: directly obtained or derived (using inference methods) from field-based information</t>
  </si>
  <si>
    <t>These columns refer to cost standarization and usually is made by the InvaCost team"</t>
  </si>
  <si>
    <t>Extrapolation: cost predicted beyond the original spatial and/or temporal observation range relying on computational modelling</t>
  </si>
  <si>
    <t>Communication</t>
  </si>
  <si>
    <t>Early detection</t>
  </si>
  <si>
    <t>Detection</t>
  </si>
  <si>
    <t>Categories: it is possible to include others or combination of these ones (consider to add them in alphabetical order)</t>
  </si>
  <si>
    <t>The assessment of the methodological approach used for cost estimation</t>
  </si>
  <si>
    <t>high reliability: if either provided by officially pre-assessed materials (peer- reviewed articles and official reports) or the estimation method was documented, repeatable and/or traceable if provided by other grey materials</t>
  </si>
  <si>
    <t xml:space="preserve">low reliability if not </t>
  </si>
  <si>
    <t>Type_of_cost_merged</t>
  </si>
  <si>
    <t>Reasssignement of the type of cost column:</t>
  </si>
  <si>
    <t>Categories:</t>
  </si>
  <si>
    <t>Damage: economic losses due to direct and/or indirect impacts of invaders, such as yield loss, health injury, land alteration, infrastructure damage, or income reduction</t>
  </si>
  <si>
    <t xml:space="preserve">Management: monetary resources allocated to mitigate the spread or impacts of invaders, such as prevention, control, research, long-term management, eradication </t>
  </si>
  <si>
    <t>Mixed: when when costs included both ‘damage’ and ‘management’ components</t>
  </si>
  <si>
    <t>Unspecified: every cost for which the exact nature of cost was not clearly defined</t>
  </si>
  <si>
    <t>NA: Every entry that has partly or fully associated with damage costs</t>
  </si>
  <si>
    <t>Mixed: when costs include at least (and without possibility to disentangle the specific proportion of) two of the previous categories</t>
  </si>
  <si>
    <t>Pre-invasion management: monetary investments for preventing successful invasions in an area - including quarantine or border inspection, risk analyses, biosecurity management, etc.</t>
  </si>
  <si>
    <t>Post-invasion management: money  spent for managing invasions in invaded areas - including control, eradication, containment</t>
  </si>
  <si>
    <t>Knowledge/funding: money allocated to all actions and operations that could be of interest at all steps of management at pre- and post-invasion stages - including administration, communication, education, research, etc.</t>
  </si>
  <si>
    <t>Unspecified: every cost for which the exact nature of cost was not clearly defined was assigned to.</t>
  </si>
  <si>
    <t>Damage</t>
  </si>
  <si>
    <t>Management</t>
  </si>
  <si>
    <t>Mixed</t>
  </si>
  <si>
    <t>Description Type_of_cost_merged</t>
  </si>
  <si>
    <t>Description Management_type</t>
  </si>
  <si>
    <t>Pre-invasion management</t>
  </si>
  <si>
    <t>Post-invasion management</t>
  </si>
  <si>
    <t>Knowledge/funding</t>
  </si>
  <si>
    <t>When necessary, narrative elements deemed important either to understand the cost estimate or to support choices made for completing the database</t>
  </si>
  <si>
    <t>List of cost estimates (individual Cost ID) that might overlap with other cost entry(s).</t>
  </si>
  <si>
    <t xml:space="preserve">Z(V/W) </t>
  </si>
  <si>
    <t>Z/V/W</t>
  </si>
  <si>
    <t xml:space="preserve"> Z(V/W) when the overlap is known and one or more cost ID (V,W) are included in another cost ID (Z)</t>
  </si>
  <si>
    <t xml:space="preserve"> Z/V/W: when the overlap is not clear</t>
  </si>
  <si>
    <t>The mention of if any benefit value was found in the analysed material;</t>
  </si>
  <si>
    <t xml:space="preserve"> this might cover different types of benefits (e.g. real benefits provided by direct use or exploitation of invasive species or benefits that are actually avoided costs) </t>
  </si>
  <si>
    <t>the figure was not recorded or described as being out of the scope of INVACOST</t>
  </si>
  <si>
    <t>Initial_contributors_names</t>
  </si>
  <si>
    <t>Initial_contributors_emails</t>
  </si>
  <si>
    <t>Double-checking</t>
  </si>
  <si>
    <t>Assessment of cost information collated (by at least) two contributors which names/contacts are provided in the Contributors column</t>
  </si>
  <si>
    <t>Yes: if it has been double checked</t>
  </si>
  <si>
    <t xml:space="preserve">No: if it has not been double checked </t>
  </si>
  <si>
    <t>Lower boundary of the Raw cost estimate local currency (if a range of estimates was provided by the authors)</t>
  </si>
  <si>
    <r>
      <t>Lower boundary of the </t>
    </r>
    <r>
      <rPr>
        <i/>
        <sz val="12"/>
        <color rgb="FF000000"/>
        <rFont val="Arial Narrow"/>
        <family val="2"/>
      </rPr>
      <t>Raw cost estimate local currency</t>
    </r>
    <r>
      <rPr>
        <sz val="12"/>
        <color rgb="FF000000"/>
        <rFont val="Arial Narrow"/>
        <family val="2"/>
      </rPr>
      <t> (if a range of estimates was provided by the authors)</t>
    </r>
  </si>
  <si>
    <t>Contact details of contributors (s) having collated the cost entry</t>
  </si>
  <si>
    <t>Name of contributor(s) having collated the cost entry</t>
  </si>
  <si>
    <t>Only  column AK (and if data exists, columns AL and AM) have to be filled</t>
  </si>
  <si>
    <t>or combinations of the above;, each letter is a cost ID</t>
  </si>
  <si>
    <t>Habitat_verbatim</t>
  </si>
  <si>
    <t>ProtectedArea</t>
  </si>
  <si>
    <t>Habitatverbatim</t>
  </si>
  <si>
    <t>Probable_starting_year_adjusted</t>
  </si>
  <si>
    <t>Probable_ending_year_adjusted</t>
  </si>
  <si>
    <t>Method_reliability_refined</t>
  </si>
  <si>
    <t>Method_reliability_refined_Explanation</t>
  </si>
  <si>
    <t>Overlaps</t>
  </si>
  <si>
    <t>Method_reliability_refined_Expert_Name</t>
  </si>
  <si>
    <t>Detailed explanation why a particular methodological approach used for cost estimation was deemed as of high or low reliability based on expert opinion</t>
  </si>
  <si>
    <t>Assessment of the methodological approach used for cost estimation as of high or low reliability based on the evaluation of the estimation methodology by expert contributors</t>
  </si>
  <si>
    <t>Complete name and contact details of the expert had deemed the reliability of the cost entry</t>
  </si>
  <si>
    <t>Subspecies</t>
  </si>
  <si>
    <t>Antartic-Subantartic</t>
  </si>
  <si>
    <t>Avoided costs</t>
  </si>
  <si>
    <t>urbanArea</t>
  </si>
  <si>
    <t>urban</t>
  </si>
  <si>
    <t>non-urban</t>
  </si>
  <si>
    <t>both</t>
  </si>
  <si>
    <t>urban: if the costs occurred in urban areas only</t>
  </si>
  <si>
    <t>other: if the cost occurred in a non-urban areas only or on a large area where  urban and non-urban areas ccannot be distinguished</t>
  </si>
  <si>
    <t>both: if the study compares the costs between urban and non-urban areas (i.e. urban vs. suburban, or, suburban vs. non-urban, it must be explicit)</t>
  </si>
  <si>
    <t>Antarctic-Subantarctic</t>
  </si>
  <si>
    <t xml:space="preserve"> Raw_cost_estimate_2020_USD_exchange_rate </t>
  </si>
  <si>
    <t xml:space="preserve"> Raw_cost_estimate_2020_USD_PPP </t>
  </si>
  <si>
    <t xml:space="preserve"> Cost_estimate_per_year_2020_USD_exchange_rate </t>
  </si>
  <si>
    <t xml:space="preserve"> Cost_estimate_per_year_2020_USD_PPP </t>
  </si>
  <si>
    <t>Acacia implexa</t>
  </si>
  <si>
    <t>Acacia longifolia</t>
  </si>
  <si>
    <t>Acacia paradoxa</t>
  </si>
  <si>
    <t>Acacia pycnantha</t>
  </si>
  <si>
    <t>Acromyrmex octospinosus</t>
  </si>
  <si>
    <t>Acromyrmex</t>
  </si>
  <si>
    <t>Aedes camptorhynchus</t>
  </si>
  <si>
    <t>Ageratina adenophora</t>
  </si>
  <si>
    <t>Ageratina</t>
  </si>
  <si>
    <t>Aleurodicus rugioperculatus</t>
  </si>
  <si>
    <t>Aleurodicus</t>
  </si>
  <si>
    <t>Alliaria petiolata</t>
  </si>
  <si>
    <t>Alliaria</t>
  </si>
  <si>
    <t>Ambrosia trifida</t>
  </si>
  <si>
    <t>Anguina tritici</t>
  </si>
  <si>
    <t>Anguina</t>
  </si>
  <si>
    <t>Tylenchidae</t>
  </si>
  <si>
    <t>Argemone mexicana</t>
  </si>
  <si>
    <t>Argemone</t>
  </si>
  <si>
    <t>Papaveraceae</t>
  </si>
  <si>
    <t>Arion lusitanicus</t>
  </si>
  <si>
    <t>Artemia franciscana</t>
  </si>
  <si>
    <t>Artemia</t>
  </si>
  <si>
    <t>Artemiidae</t>
  </si>
  <si>
    <t>Anostraca</t>
  </si>
  <si>
    <t>Artemisia annua</t>
  </si>
  <si>
    <t>Ascophyllum nodosum</t>
  </si>
  <si>
    <t>Ascophyllum</t>
  </si>
  <si>
    <t>Fucaceae</t>
  </si>
  <si>
    <t>Fucales</t>
  </si>
  <si>
    <t>Asparagus asparagoides</t>
  </si>
  <si>
    <t>Asparagus</t>
  </si>
  <si>
    <t>Avena fatua</t>
  </si>
  <si>
    <t>Avena</t>
  </si>
  <si>
    <t>Avian orthoavulavirus 1</t>
  </si>
  <si>
    <t>Orthoavulavirus</t>
  </si>
  <si>
    <t>Paramyxoviridae</t>
  </si>
  <si>
    <t>Mononegavirales</t>
  </si>
  <si>
    <t>Monjiviricetes</t>
  </si>
  <si>
    <t>Negarnaviricota</t>
  </si>
  <si>
    <t>Viruses</t>
  </si>
  <si>
    <t>Bactericera cockerelli</t>
  </si>
  <si>
    <t>Bactericera</t>
  </si>
  <si>
    <t>Triozidae</t>
  </si>
  <si>
    <t>Bactrocera oleae</t>
  </si>
  <si>
    <t>Banana bunchy top virus</t>
  </si>
  <si>
    <t>Babuvirus</t>
  </si>
  <si>
    <t>Nanoviridae</t>
  </si>
  <si>
    <t>Mulpavirales</t>
  </si>
  <si>
    <t>Arfiviricetes</t>
  </si>
  <si>
    <t>Cressdnaviricota</t>
  </si>
  <si>
    <t>Bassia scoparia</t>
  </si>
  <si>
    <t>Bassia</t>
  </si>
  <si>
    <t>Bipolaris sorokiniana</t>
  </si>
  <si>
    <t>Bipolaris</t>
  </si>
  <si>
    <t>Pleosporaceae</t>
  </si>
  <si>
    <t>Blattella germanica</t>
  </si>
  <si>
    <t>Blattella</t>
  </si>
  <si>
    <t>Ectobiidae</t>
  </si>
  <si>
    <t>Blatta orientalis</t>
  </si>
  <si>
    <t>Blatta</t>
  </si>
  <si>
    <t>Blattidae</t>
  </si>
  <si>
    <t>Blumeria graminis</t>
  </si>
  <si>
    <t>Blumeria</t>
  </si>
  <si>
    <t>Erysiphaceae</t>
  </si>
  <si>
    <t>Erysiphales</t>
  </si>
  <si>
    <t>Botrylloides violaceus</t>
  </si>
  <si>
    <t>Botrylloides</t>
  </si>
  <si>
    <t>Styelidae</t>
  </si>
  <si>
    <t>Stolidobranchia</t>
  </si>
  <si>
    <t>Ascidiacea</t>
  </si>
  <si>
    <t>Botryllus schlosseri</t>
  </si>
  <si>
    <t>Botryllus</t>
  </si>
  <si>
    <t>Bovine alphaherpesvirus 1</t>
  </si>
  <si>
    <t>Varicellovirus</t>
  </si>
  <si>
    <t>Herpesviridae</t>
  </si>
  <si>
    <t>Herpesvirales</t>
  </si>
  <si>
    <t>Herviviricetes</t>
  </si>
  <si>
    <t>Peploviricota</t>
  </si>
  <si>
    <t>Brachiaria eruciformis</t>
  </si>
  <si>
    <t>Brachiaria mutica</t>
  </si>
  <si>
    <t>Branchiomma bairdi</t>
  </si>
  <si>
    <t>Branchiomma</t>
  </si>
  <si>
    <t>Sabellidae</t>
  </si>
  <si>
    <t>Brassica tournefortii</t>
  </si>
  <si>
    <t>Brassica</t>
  </si>
  <si>
    <t>Calandra palmarum</t>
  </si>
  <si>
    <t>Carcinus maenas</t>
  </si>
  <si>
    <t>Carcinus</t>
  </si>
  <si>
    <t>Carcinidae</t>
  </si>
  <si>
    <t>Carduus platypus</t>
  </si>
  <si>
    <t>Carduus</t>
  </si>
  <si>
    <t>Carduus pycnocephalus</t>
  </si>
  <si>
    <t>Carduus tenuiflorus</t>
  </si>
  <si>
    <t>Carex strigosa</t>
  </si>
  <si>
    <t>Carex</t>
  </si>
  <si>
    <t>Carthamus lanatus</t>
  </si>
  <si>
    <t>Carthamus</t>
  </si>
  <si>
    <t>Cenchrus echinatus</t>
  </si>
  <si>
    <t>Cenchrus purpureus</t>
  </si>
  <si>
    <t>Centaurea affinis</t>
  </si>
  <si>
    <t>Centaurea calcitrapa</t>
  </si>
  <si>
    <t>Centaurea moncktonii</t>
  </si>
  <si>
    <t>Centaurea solstitialis</t>
  </si>
  <si>
    <t>Centaurea trichocephala</t>
  </si>
  <si>
    <t>Centaurea virgata</t>
  </si>
  <si>
    <t>Cercis siliquastrum</t>
  </si>
  <si>
    <t>Cercis</t>
  </si>
  <si>
    <t>Chironomus crassicaudatus</t>
  </si>
  <si>
    <t>Chironomus</t>
  </si>
  <si>
    <t>Chironomidae</t>
  </si>
  <si>
    <t>Chloris truncata</t>
  </si>
  <si>
    <t>Chloris</t>
  </si>
  <si>
    <t>Chloris virgata</t>
  </si>
  <si>
    <t>Chondrilla juncea</t>
  </si>
  <si>
    <t>Chondrilla</t>
  </si>
  <si>
    <t>Cinchona pubescens</t>
  </si>
  <si>
    <t>Cinchona</t>
  </si>
  <si>
    <t>Rubiaceae</t>
  </si>
  <si>
    <t>Ciona intestinalis</t>
  </si>
  <si>
    <t>Ciona</t>
  </si>
  <si>
    <t>Cionidae</t>
  </si>
  <si>
    <t>Phlebobranchia</t>
  </si>
  <si>
    <t>Cirsium arvense</t>
  </si>
  <si>
    <t>Cirsium vulgare</t>
  </si>
  <si>
    <t>Cissus verticillata</t>
  </si>
  <si>
    <t>Cissus</t>
  </si>
  <si>
    <t>Vitaceae</t>
  </si>
  <si>
    <t>Vitales</t>
  </si>
  <si>
    <t>Citrus medica</t>
  </si>
  <si>
    <t>Clavibacter michiganensis</t>
  </si>
  <si>
    <t>Clavibacter</t>
  </si>
  <si>
    <t>Microbacteriaceae</t>
  </si>
  <si>
    <t>Actinomycetales</t>
  </si>
  <si>
    <t>Actinomycetia</t>
  </si>
  <si>
    <t>Actinobacteriota</t>
  </si>
  <si>
    <t>Claviceps purpurea</t>
  </si>
  <si>
    <t>Claviceps</t>
  </si>
  <si>
    <t>Clavicipitaceae</t>
  </si>
  <si>
    <t>Clematis vitalba</t>
  </si>
  <si>
    <t>Clematis</t>
  </si>
  <si>
    <t>Cochlicella acuta</t>
  </si>
  <si>
    <t>Cochlicella</t>
  </si>
  <si>
    <t>Geomitridae</t>
  </si>
  <si>
    <t>Cocos nucifera</t>
  </si>
  <si>
    <t>Cocos</t>
  </si>
  <si>
    <t>Codium fragile</t>
  </si>
  <si>
    <t>Codium</t>
  </si>
  <si>
    <t>Codiaceae</t>
  </si>
  <si>
    <t>Crepidula porcellana</t>
  </si>
  <si>
    <t>Crepidula</t>
  </si>
  <si>
    <t>Calyptraeidae</t>
  </si>
  <si>
    <t>Littorinimorpha</t>
  </si>
  <si>
    <t>Cronartium ribicola</t>
  </si>
  <si>
    <t>Cronartium</t>
  </si>
  <si>
    <t>Cronartiaceae</t>
  </si>
  <si>
    <t>Cryphonectria parasitica</t>
  </si>
  <si>
    <t>Cryphonectria</t>
  </si>
  <si>
    <t>Cryphonectriaceae</t>
  </si>
  <si>
    <t>Cyclachaena xanthiifolia</t>
  </si>
  <si>
    <t>Cyclachaena</t>
  </si>
  <si>
    <t>Cyperus rotundus</t>
  </si>
  <si>
    <t>Cytisus scoparius</t>
  </si>
  <si>
    <t>Cytisus</t>
  </si>
  <si>
    <t>Dicentra peregrina</t>
  </si>
  <si>
    <t>Dicentra</t>
  </si>
  <si>
    <t>Dicyrtomina ornata</t>
  </si>
  <si>
    <t>Dicyrtomina</t>
  </si>
  <si>
    <t>Dicyrtomidae</t>
  </si>
  <si>
    <t>Symphypleona</t>
  </si>
  <si>
    <t>Collembola</t>
  </si>
  <si>
    <t>Didemnum vexillum</t>
  </si>
  <si>
    <t>Didemnum</t>
  </si>
  <si>
    <t>Didemnidae</t>
  </si>
  <si>
    <t>Aplousobranchia</t>
  </si>
  <si>
    <t>Dikerogammarus villosus</t>
  </si>
  <si>
    <t>Dikerogammarus</t>
  </si>
  <si>
    <t>Gammaridae</t>
  </si>
  <si>
    <t>Amphipoda</t>
  </si>
  <si>
    <t>Diplotaxis tenuifolia</t>
  </si>
  <si>
    <t>Diplotaxis</t>
  </si>
  <si>
    <t>Dittrichia viscosa</t>
  </si>
  <si>
    <t>Dittrichia</t>
  </si>
  <si>
    <t>Dolichandra unguis-cati</t>
  </si>
  <si>
    <t>Dolichandra</t>
  </si>
  <si>
    <t>Dothistroma septosporum</t>
  </si>
  <si>
    <t>Dothistroma</t>
  </si>
  <si>
    <t>Mycosphaerellaceae</t>
  </si>
  <si>
    <t>Capnodiales</t>
  </si>
  <si>
    <t>Echinochloa glabrescens</t>
  </si>
  <si>
    <t>Echinochloa</t>
  </si>
  <si>
    <t>Echium italicum</t>
  </si>
  <si>
    <t>Echium plantagineum</t>
  </si>
  <si>
    <t>Echium simplex</t>
  </si>
  <si>
    <t>Eleutherodactylus planirostris</t>
  </si>
  <si>
    <t>Equus ferus</t>
  </si>
  <si>
    <t>Erodium cicutarium</t>
  </si>
  <si>
    <t>Erodium</t>
  </si>
  <si>
    <t>Eucalyptus pulverulenta</t>
  </si>
  <si>
    <t>Eupatorium serotinum</t>
  </si>
  <si>
    <t>Fallopia baldschuanica</t>
  </si>
  <si>
    <t>Fallopia</t>
  </si>
  <si>
    <t>Fallopia convolvulus</t>
  </si>
  <si>
    <t>Felis domesticus</t>
  </si>
  <si>
    <t>Furcraea hexapetala</t>
  </si>
  <si>
    <t>Fusarium pseudograminearum</t>
  </si>
  <si>
    <t>Globodera pallida</t>
  </si>
  <si>
    <t>Globodera</t>
  </si>
  <si>
    <t>Globodera rostochiensis</t>
  </si>
  <si>
    <t>Glyptotendipes paripes</t>
  </si>
  <si>
    <t>Glyptotendipes</t>
  </si>
  <si>
    <t>Gonipterus platensis</t>
  </si>
  <si>
    <t>Gremmeniella abietina</t>
  </si>
  <si>
    <t>Gremmeniella</t>
  </si>
  <si>
    <t>Godroniaceae</t>
  </si>
  <si>
    <t>Heliotropium europaeum</t>
  </si>
  <si>
    <t>Heliotropium</t>
  </si>
  <si>
    <t>Heliotropiaceae</t>
  </si>
  <si>
    <t>Hyacinthoides hispanica</t>
  </si>
  <si>
    <t>Hyacinthoides</t>
  </si>
  <si>
    <t>Hymenoscyphus fraxineus</t>
  </si>
  <si>
    <t>Hymenoscyphus</t>
  </si>
  <si>
    <t>Helotiaceae</t>
  </si>
  <si>
    <t>Hyparrhenia rufa</t>
  </si>
  <si>
    <t>Hyparrhenia</t>
  </si>
  <si>
    <t>Hypericum perforatum</t>
  </si>
  <si>
    <t>Hypericum</t>
  </si>
  <si>
    <t>Hypericaceae</t>
  </si>
  <si>
    <t>Hypothenemus hampei</t>
  </si>
  <si>
    <t>Hypothenemus</t>
  </si>
  <si>
    <t>Imperata cylindrica</t>
  </si>
  <si>
    <t>Imperata</t>
  </si>
  <si>
    <t>Iris pseudacorus</t>
  </si>
  <si>
    <t>Iris</t>
  </si>
  <si>
    <t>Jatropha curcas</t>
  </si>
  <si>
    <t>Juncus bufonius</t>
  </si>
  <si>
    <t>Juncus</t>
  </si>
  <si>
    <t>Juncaceae</t>
  </si>
  <si>
    <t>Juniperus osteosperma</t>
  </si>
  <si>
    <t>Juniperus</t>
  </si>
  <si>
    <t>Kalanchoe delagoensis</t>
  </si>
  <si>
    <t>Koenigia polystachya</t>
  </si>
  <si>
    <t>Koenigia</t>
  </si>
  <si>
    <t>Lactuca serriola</t>
  </si>
  <si>
    <t>Lactuca</t>
  </si>
  <si>
    <t>Lamium maculatum</t>
  </si>
  <si>
    <t>Lamium</t>
  </si>
  <si>
    <t>Lamiaceae</t>
  </si>
  <si>
    <t>Larix decidua</t>
  </si>
  <si>
    <t>Lepidium draba</t>
  </si>
  <si>
    <t>Lepidium</t>
  </si>
  <si>
    <t>Lepidium latifolium</t>
  </si>
  <si>
    <t>Lepisiota frauenfeldi</t>
  </si>
  <si>
    <t>Lepisiota</t>
  </si>
  <si>
    <t>Lespedeza cuneata</t>
  </si>
  <si>
    <t>Lespedeza</t>
  </si>
  <si>
    <t>Ligustrum sinense</t>
  </si>
  <si>
    <t>Limnocharis flava</t>
  </si>
  <si>
    <t>Limnocharis</t>
  </si>
  <si>
    <t>Alismataceae</t>
  </si>
  <si>
    <t>Linaria dalmatica</t>
  </si>
  <si>
    <t>Linaria</t>
  </si>
  <si>
    <t>Plantaginaceae</t>
  </si>
  <si>
    <t>Lissachatina</t>
  </si>
  <si>
    <t>Lolium rigidum</t>
  </si>
  <si>
    <t>Lolium</t>
  </si>
  <si>
    <t>Lycorma delicatula</t>
  </si>
  <si>
    <t>Lycorma</t>
  </si>
  <si>
    <t>Fulgoridae</t>
  </si>
  <si>
    <t>Maize chlorotic mottle virus</t>
  </si>
  <si>
    <t>Machlomovirus</t>
  </si>
  <si>
    <t>Tombusviridae</t>
  </si>
  <si>
    <t>Tolivirales</t>
  </si>
  <si>
    <t>Tolucaviricetes</t>
  </si>
  <si>
    <t>Kitrinoviricota</t>
  </si>
  <si>
    <t>Malva parviflora</t>
  </si>
  <si>
    <t>Malva</t>
  </si>
  <si>
    <t>Marchalina hellenica</t>
  </si>
  <si>
    <t>Marchalina</t>
  </si>
  <si>
    <t>Marrubium vulgare</t>
  </si>
  <si>
    <t>Marrubium</t>
  </si>
  <si>
    <t>Mayetiola destructor</t>
  </si>
  <si>
    <t>Mayetiola</t>
  </si>
  <si>
    <t>Melinis repens</t>
  </si>
  <si>
    <t>Melinis</t>
  </si>
  <si>
    <t>Miconia nervosa</t>
  </si>
  <si>
    <t>Miconia racemosa</t>
  </si>
  <si>
    <t>Mimosa diplotricha</t>
  </si>
  <si>
    <t>Monomorium pharaonis</t>
  </si>
  <si>
    <t>Monomorium</t>
  </si>
  <si>
    <t>Mylopharyngodon piceus</t>
  </si>
  <si>
    <t>Mylopharyngodon</t>
  </si>
  <si>
    <t>Myoporum tenuifolium</t>
  </si>
  <si>
    <t>Myriophyllum heterophyllum</t>
  </si>
  <si>
    <t>Mysis relicta</t>
  </si>
  <si>
    <t>Mysis</t>
  </si>
  <si>
    <t>Mysidae</t>
  </si>
  <si>
    <t>Mysida</t>
  </si>
  <si>
    <t>Mytilopsis sallei</t>
  </si>
  <si>
    <t>Nassella tenuissima</t>
  </si>
  <si>
    <t>Nerium oleander</t>
  </si>
  <si>
    <t>Nerium</t>
  </si>
  <si>
    <t>Onopordum acanthium</t>
  </si>
  <si>
    <t>Onopordum</t>
  </si>
  <si>
    <t>Ophiostoma novo-ulmi</t>
  </si>
  <si>
    <t>Ophraella communa</t>
  </si>
  <si>
    <t>Ophraella</t>
  </si>
  <si>
    <t>Opuntia microdasys</t>
  </si>
  <si>
    <t>Oryctes rhinoceros</t>
  </si>
  <si>
    <t>Oryctes</t>
  </si>
  <si>
    <t>Osteospermum moniliferum</t>
  </si>
  <si>
    <t>Osteospermum</t>
  </si>
  <si>
    <t>Otala punctata</t>
  </si>
  <si>
    <t>Otala</t>
  </si>
  <si>
    <t>Oulema melanopus</t>
  </si>
  <si>
    <t>Oulema</t>
  </si>
  <si>
    <t>Panicum repens</t>
  </si>
  <si>
    <t>Paracoccus marginatus</t>
  </si>
  <si>
    <t>Paracoccus</t>
  </si>
  <si>
    <t>Paralithodes camtschaticus</t>
  </si>
  <si>
    <t>Paralithodes</t>
  </si>
  <si>
    <t>Lithodidae</t>
  </si>
  <si>
    <t>Paraserianthes lophantha</t>
  </si>
  <si>
    <t>Paraserianthes</t>
  </si>
  <si>
    <t>Pastinaca sativa</t>
  </si>
  <si>
    <t>Pastinaca</t>
  </si>
  <si>
    <t>Peromyscus eremicus</t>
  </si>
  <si>
    <t>Peromyscus</t>
  </si>
  <si>
    <t>Persicaria acuminata</t>
  </si>
  <si>
    <t>Phalaris aquatica</t>
  </si>
  <si>
    <t>Phalaris</t>
  </si>
  <si>
    <t>Phalaris minor</t>
  </si>
  <si>
    <t>Phelipanche ramosa</t>
  </si>
  <si>
    <t>Phelipanche</t>
  </si>
  <si>
    <t>Phoxinus phoxinus</t>
  </si>
  <si>
    <t>Phoxinus</t>
  </si>
  <si>
    <t>Phyla nodiflora</t>
  </si>
  <si>
    <t>Phyla</t>
  </si>
  <si>
    <t>Phyllosticta cavendishii</t>
  </si>
  <si>
    <t>Phyllosticta</t>
  </si>
  <si>
    <t>Phyllostictaceae</t>
  </si>
  <si>
    <t>Botryosphaeriales</t>
  </si>
  <si>
    <t>Phytophthora infestans</t>
  </si>
  <si>
    <t>Phytophthora kernoviae</t>
  </si>
  <si>
    <t>Phytophthora ramorum</t>
  </si>
  <si>
    <t>Pieris brassicae</t>
  </si>
  <si>
    <t>Pieris</t>
  </si>
  <si>
    <t>Pieridae</t>
  </si>
  <si>
    <t>Pinus elliottii</t>
  </si>
  <si>
    <t>Pinus monophylla</t>
  </si>
  <si>
    <t>Pinus pinaster</t>
  </si>
  <si>
    <t>Pinus radiata</t>
  </si>
  <si>
    <t>Pinus strobus</t>
  </si>
  <si>
    <t>Plectranthus parviflorus</t>
  </si>
  <si>
    <t>Plectranthus</t>
  </si>
  <si>
    <t>Polistes olivaceus</t>
  </si>
  <si>
    <t>Polistes</t>
  </si>
  <si>
    <t>Eumenidae</t>
  </si>
  <si>
    <t>Polygonum aviculare</t>
  </si>
  <si>
    <t>Polygonum</t>
  </si>
  <si>
    <t>Portulacaria afra</t>
  </si>
  <si>
    <t>Portulacaria</t>
  </si>
  <si>
    <t>Didiereaceae</t>
  </si>
  <si>
    <t>Portunus pelagicus</t>
  </si>
  <si>
    <t>Portunus</t>
  </si>
  <si>
    <t>Potato virus T</t>
  </si>
  <si>
    <t>Tepovirus</t>
  </si>
  <si>
    <t>Betaflexiviridae</t>
  </si>
  <si>
    <t>Tymovirales</t>
  </si>
  <si>
    <t>Alsuviricetes</t>
  </si>
  <si>
    <t>Pratylenchus neglectus</t>
  </si>
  <si>
    <t>Pratylenchus penetrans</t>
  </si>
  <si>
    <t>Pratylenchus teres</t>
  </si>
  <si>
    <t>Pratylenchus thornei</t>
  </si>
  <si>
    <t>Prosopis juliflora</t>
  </si>
  <si>
    <t>Protobothrops mucrosquamatus</t>
  </si>
  <si>
    <t>Protobothrops</t>
  </si>
  <si>
    <t>Viperidae</t>
  </si>
  <si>
    <t>Pseudochattonella verruculosa</t>
  </si>
  <si>
    <t>Pseudochattonella</t>
  </si>
  <si>
    <t>Florenciellaceae</t>
  </si>
  <si>
    <t>Florenciellales</t>
  </si>
  <si>
    <t>Dictyochophyceae</t>
  </si>
  <si>
    <t>Psidium guajava</t>
  </si>
  <si>
    <t>Psidium</t>
  </si>
  <si>
    <t>Pterygoplichthys gibbiceps</t>
  </si>
  <si>
    <t>Puccinia graminis</t>
  </si>
  <si>
    <t>Puccinia striiformis</t>
  </si>
  <si>
    <t>Pyrenophora tritici-repentis</t>
  </si>
  <si>
    <t>Pyrenophora</t>
  </si>
  <si>
    <t>Radopholus nativus</t>
  </si>
  <si>
    <t>Radopholus vangundyi</t>
  </si>
  <si>
    <t>Raphanus raphanistrum</t>
  </si>
  <si>
    <t>Raphanus</t>
  </si>
  <si>
    <t>Reseda lutea</t>
  </si>
  <si>
    <t>Reseda</t>
  </si>
  <si>
    <t>Resedaceae</t>
  </si>
  <si>
    <t>Reticulitermes flavipes</t>
  </si>
  <si>
    <t>Reticulitermes</t>
  </si>
  <si>
    <t>Reynoutria bohemica</t>
  </si>
  <si>
    <t>Reynoutria sachalinensis</t>
  </si>
  <si>
    <t>Rhamnus cathartica</t>
  </si>
  <si>
    <t>Rhamnus</t>
  </si>
  <si>
    <t>Rhaponticum repens</t>
  </si>
  <si>
    <t>Rhaponticum</t>
  </si>
  <si>
    <t>Rhizoctonia solani</t>
  </si>
  <si>
    <t>Rhizoctonia</t>
  </si>
  <si>
    <t>Ceratobasidiaceae</t>
  </si>
  <si>
    <t>Cantharellales</t>
  </si>
  <si>
    <t>Rhopilema nomadica</t>
  </si>
  <si>
    <t>Rhopilema</t>
  </si>
  <si>
    <t>Rhizostomatidae</t>
  </si>
  <si>
    <t>Rhizostomeae</t>
  </si>
  <si>
    <t>Scyphozoa</t>
  </si>
  <si>
    <t>Cnidaria</t>
  </si>
  <si>
    <t>Rhynchophorus palmarum</t>
  </si>
  <si>
    <t>Rosa rubiginosa</t>
  </si>
  <si>
    <t>Rosa</t>
  </si>
  <si>
    <t>Rosa rugosa</t>
  </si>
  <si>
    <t>Rousettus aegyptiacus</t>
  </si>
  <si>
    <t>Rousettus</t>
  </si>
  <si>
    <t>Pteropodidae</t>
  </si>
  <si>
    <t>Chiroptera</t>
  </si>
  <si>
    <t>Rubus armeniacus</t>
  </si>
  <si>
    <t>Rubus fruticosus</t>
  </si>
  <si>
    <t>Rumex lunaria</t>
  </si>
  <si>
    <t>Rumex</t>
  </si>
  <si>
    <t>Sabella spallanzanii</t>
  </si>
  <si>
    <t>Sabella</t>
  </si>
  <si>
    <t>Salvia aethiopis</t>
  </si>
  <si>
    <t>Salvia</t>
  </si>
  <si>
    <t>Salvia reflexa</t>
  </si>
  <si>
    <t>Sargassum muticum</t>
  </si>
  <si>
    <t>Sargassum</t>
  </si>
  <si>
    <t>Sargassaceae</t>
  </si>
  <si>
    <t>Schistocerca gregaria</t>
  </si>
  <si>
    <t>Schistocerca</t>
  </si>
  <si>
    <t>Acrididae</t>
  </si>
  <si>
    <t>Sciurus aureogaster</t>
  </si>
  <si>
    <t>Senecio jacobaea</t>
  </si>
  <si>
    <t>Senecio madagascariensis</t>
  </si>
  <si>
    <t>Senna obtusifolia</t>
  </si>
  <si>
    <t>Senna</t>
  </si>
  <si>
    <t>Septoria tritici</t>
  </si>
  <si>
    <t>Septoria</t>
  </si>
  <si>
    <t>Sesbania punicea</t>
  </si>
  <si>
    <t>Sesbania</t>
  </si>
  <si>
    <t>Setaria helvola</t>
  </si>
  <si>
    <t>Setaria</t>
  </si>
  <si>
    <t>Sida acuta</t>
  </si>
  <si>
    <t>Sida</t>
  </si>
  <si>
    <t>Sisymbrium officinale</t>
  </si>
  <si>
    <t>Sisymbrium</t>
  </si>
  <si>
    <t>Solanum quitoense</t>
  </si>
  <si>
    <t>Solanum seaforthianum</t>
  </si>
  <si>
    <t>Solanum tampicense</t>
  </si>
  <si>
    <t>Solenopsis richteri</t>
  </si>
  <si>
    <t>Sonchus oleraceus</t>
  </si>
  <si>
    <t>Sonchus</t>
  </si>
  <si>
    <t>Sphagneticola trilobata</t>
  </si>
  <si>
    <t>Sphagneticola</t>
  </si>
  <si>
    <t>Sporobolus cynosuroides</t>
  </si>
  <si>
    <t>Sporobolus fertilis</t>
  </si>
  <si>
    <t>Squirrelpox virus</t>
  </si>
  <si>
    <t>Sciuripoxvirus</t>
  </si>
  <si>
    <t>Poxviridae</t>
  </si>
  <si>
    <t>Chitovirales</t>
  </si>
  <si>
    <t>Pokkesviricetes</t>
  </si>
  <si>
    <t>Nucleocytoviricota</t>
  </si>
  <si>
    <t>Stellaria media</t>
  </si>
  <si>
    <t>Stellaria</t>
  </si>
  <si>
    <t>Caryophyllaceae</t>
  </si>
  <si>
    <t>Striga asiatica</t>
  </si>
  <si>
    <t>Styela clava</t>
  </si>
  <si>
    <t>Styela</t>
  </si>
  <si>
    <t>Tamarix chinensis</t>
  </si>
  <si>
    <t>Tanacetum vulgare</t>
  </si>
  <si>
    <t>Tanacetum</t>
  </si>
  <si>
    <t>Tecoma stans</t>
  </si>
  <si>
    <t>Tecoma</t>
  </si>
  <si>
    <t>Thevetia peruviana</t>
  </si>
  <si>
    <t>Thevetia</t>
  </si>
  <si>
    <t>Tithonia diversifolia</t>
  </si>
  <si>
    <t>Tithonia</t>
  </si>
  <si>
    <t>Tobacco ringspot virus</t>
  </si>
  <si>
    <t>Nepovirus</t>
  </si>
  <si>
    <t>Secoviridae</t>
  </si>
  <si>
    <t>Picornavirales</t>
  </si>
  <si>
    <t>Pisoniviricetes</t>
  </si>
  <si>
    <t>Pisuviricota</t>
  </si>
  <si>
    <t>Triadica sebifera</t>
  </si>
  <si>
    <t>Triadica</t>
  </si>
  <si>
    <t>Tribulus terrestris</t>
  </si>
  <si>
    <t>Tribulus</t>
  </si>
  <si>
    <t>Ulmus parvifolia</t>
  </si>
  <si>
    <t>Ulmus</t>
  </si>
  <si>
    <t>Ulmaceae</t>
  </si>
  <si>
    <t>Urocystis tritici</t>
  </si>
  <si>
    <t>Urocystis</t>
  </si>
  <si>
    <t>Urocystidaceae</t>
  </si>
  <si>
    <t>Urosalpinx cinerea</t>
  </si>
  <si>
    <t>Urosalpinx</t>
  </si>
  <si>
    <t>Muricidae</t>
  </si>
  <si>
    <t>Neogastropoda</t>
  </si>
  <si>
    <t>Ustilago tritici</t>
  </si>
  <si>
    <t>Ustilago</t>
  </si>
  <si>
    <t>Ustilaginaceae</t>
  </si>
  <si>
    <t>Ustilaginales</t>
  </si>
  <si>
    <t>Vachellia nilotica</t>
  </si>
  <si>
    <t>Wheat streak mosaic virus</t>
  </si>
  <si>
    <t>Potyviridae</t>
  </si>
  <si>
    <t>Patatavirales</t>
  </si>
  <si>
    <t>Stelpaviricetes</t>
  </si>
  <si>
    <t>Xanthomonas axonopodis</t>
  </si>
  <si>
    <t>Xylella fastidiosa</t>
  </si>
  <si>
    <t>Xylella</t>
  </si>
  <si>
    <t>Zostera japonica</t>
  </si>
  <si>
    <t>Zostera</t>
  </si>
  <si>
    <t>Zosteraceae</t>
  </si>
  <si>
    <t>Silybum marianum</t>
  </si>
  <si>
    <t>Silybum</t>
  </si>
  <si>
    <t>Emex spinosa</t>
  </si>
  <si>
    <t>Emex</t>
  </si>
  <si>
    <t>Kalanchoe pinnata</t>
  </si>
  <si>
    <t>Fusarium graminearum</t>
  </si>
  <si>
    <t>Ipomoea biflora</t>
  </si>
  <si>
    <t>Pseudocercospora fijiensis</t>
  </si>
  <si>
    <t>Pseudocercospora</t>
  </si>
  <si>
    <t>Frangula alnus</t>
  </si>
  <si>
    <t>Frangula</t>
  </si>
  <si>
    <t>Parastagonospora nodorum</t>
  </si>
  <si>
    <t>Parastagonospora</t>
  </si>
  <si>
    <t>Phaeosphaeriaceae</t>
  </si>
  <si>
    <t>Monomorium destructor</t>
  </si>
  <si>
    <t>Xanthium chinense</t>
  </si>
  <si>
    <t>Amaranthus mitchellii</t>
  </si>
  <si>
    <t>Amaranthus</t>
  </si>
  <si>
    <t>Pelargonium alchemilloides</t>
  </si>
  <si>
    <t>Tamarix spp.</t>
  </si>
  <si>
    <t>United States of America</t>
  </si>
  <si>
    <t>Albania</t>
  </si>
  <si>
    <t>Algeria</t>
  </si>
  <si>
    <t>Antigua and Barbuda</t>
  </si>
  <si>
    <t>Armenia</t>
  </si>
  <si>
    <t>Azerbaijan</t>
  </si>
  <si>
    <t>Bahrain</t>
  </si>
  <si>
    <t>Barbados</t>
  </si>
  <si>
    <t>Belarus</t>
  </si>
  <si>
    <t>Bosnia and Herzegovina</t>
  </si>
  <si>
    <t>Burundi</t>
  </si>
  <si>
    <t>Cabo Verde</t>
  </si>
  <si>
    <t>Cook Islands</t>
  </si>
  <si>
    <t>Croatia</t>
  </si>
  <si>
    <t>Czechia</t>
  </si>
  <si>
    <t>Democratic Republic of the Congo</t>
  </si>
  <si>
    <t>East Timor</t>
  </si>
  <si>
    <t>El Salvador</t>
  </si>
  <si>
    <t>Equatorial Guinea</t>
  </si>
  <si>
    <t>eSwatini</t>
  </si>
  <si>
    <t>Federal States of Micronesia</t>
  </si>
  <si>
    <t>Gambia</t>
  </si>
  <si>
    <t>Guinea</t>
  </si>
  <si>
    <t>Iceland</t>
  </si>
  <si>
    <t>Iran</t>
  </si>
  <si>
    <t>Iraq</t>
  </si>
  <si>
    <t>Ivory Coast</t>
  </si>
  <si>
    <t>Jamaica</t>
  </si>
  <si>
    <t>Jordan</t>
  </si>
  <si>
    <t>Kanya</t>
  </si>
  <si>
    <t>Kazakhstan</t>
  </si>
  <si>
    <t>Kiribati</t>
  </si>
  <si>
    <t>Kosovo</t>
  </si>
  <si>
    <t>Kuwait</t>
  </si>
  <si>
    <t>Kyrgyzstan</t>
  </si>
  <si>
    <t>Lebanon</t>
  </si>
  <si>
    <t>Lesotho</t>
  </si>
  <si>
    <t>Luxembourg</t>
  </si>
  <si>
    <t>Macedonia</t>
  </si>
  <si>
    <t>Marshall Islands</t>
  </si>
  <si>
    <t>Mauritania</t>
  </si>
  <si>
    <t>Moldova</t>
  </si>
  <si>
    <t>Mongolia</t>
  </si>
  <si>
    <t>Montenegro</t>
  </si>
  <si>
    <t>Mozambique</t>
  </si>
  <si>
    <t>Namibia</t>
  </si>
  <si>
    <t>Nauru</t>
  </si>
  <si>
    <t>Nepal</t>
  </si>
  <si>
    <t>Niger</t>
  </si>
  <si>
    <t>Niue</t>
  </si>
  <si>
    <t>Oman</t>
  </si>
  <si>
    <t>Palau</t>
  </si>
  <si>
    <t>Poland</t>
  </si>
  <si>
    <t>Qatar</t>
  </si>
  <si>
    <t>Republic of Congo</t>
  </si>
  <si>
    <t>Republic of Serbia</t>
  </si>
  <si>
    <t>Rwanda</t>
  </si>
  <si>
    <t>Samoa</t>
  </si>
  <si>
    <t>Saudi Arabia</t>
  </si>
  <si>
    <t>Slovakia</t>
  </si>
  <si>
    <t>Slovenia</t>
  </si>
  <si>
    <t>Solomon Islands</t>
  </si>
  <si>
    <t>Sudan</t>
  </si>
  <si>
    <t>Switzerland</t>
  </si>
  <si>
    <t>Tajikistan</t>
  </si>
  <si>
    <t>Tonga</t>
  </si>
  <si>
    <t>Tunisia</t>
  </si>
  <si>
    <t>Tuvalu</t>
  </si>
  <si>
    <t>United Arab Emirates</t>
  </si>
  <si>
    <t>United Republic of Tanzania</t>
  </si>
  <si>
    <t>Vanuatu</t>
  </si>
  <si>
    <t>Yemen</t>
  </si>
  <si>
    <t>Zimbabwe</t>
  </si>
  <si>
    <t xml:space="preserve">The second level of geographic division (state, province or territory) for the official country. It provide a more precise information about the geographic location of the costs in addition to the "Location" column. </t>
  </si>
  <si>
    <t>Unique identifier of the cost entry. To be set by the contributors and then completed/homogenized by the database managers</t>
  </si>
  <si>
    <r>
      <rPr>
        <b/>
        <sz val="14"/>
        <color indexed="48"/>
        <rFont val="Arial"/>
        <family val="2"/>
      </rPr>
      <t xml:space="preserve">6. </t>
    </r>
    <r>
      <rPr>
        <sz val="14"/>
        <color indexed="8"/>
        <rFont val="Arial"/>
        <family val="2"/>
      </rPr>
      <t>For the fields columns: "Geographic_region", "Official_country" and  "Impacted sector" it is possible to select more than one option in the same cell and they will get separated by "/".</t>
    </r>
    <r>
      <rPr>
        <sz val="14"/>
        <color theme="1"/>
        <rFont val="Arial"/>
        <family val="2"/>
      </rPr>
      <t xml:space="preserve"> Consider to add them in </t>
    </r>
    <r>
      <rPr>
        <b/>
        <sz val="14"/>
        <color theme="1"/>
        <rFont val="Arial"/>
        <family val="2"/>
      </rPr>
      <t>alphabetic order</t>
    </r>
  </si>
  <si>
    <t>Ross Mcleod</t>
  </si>
  <si>
    <t xml:space="preserve">Cervus sp. </t>
  </si>
  <si>
    <t>Deers</t>
  </si>
  <si>
    <t>AUD</t>
  </si>
  <si>
    <t>N/A</t>
  </si>
  <si>
    <t>no</t>
  </si>
  <si>
    <t>Martha Thallas-Lamb</t>
  </si>
  <si>
    <t>marthathallas-lamb@flinders.edu.au</t>
  </si>
  <si>
    <t>Annual production losses were estimated at $55.8 million in 2021. Beef and sheep losses accounted for around half of these agricultural sector production losses (see Figure 1 for estimates for high-, mean- and low-impact scenarios.) The estimate for annua</t>
  </si>
  <si>
    <t xml:space="preserve">ANNUAL COSTS OF FERAL DEER IN AUSTRALIA </t>
  </si>
  <si>
    <t>New South Wales</t>
  </si>
  <si>
    <t>Queensland</t>
  </si>
  <si>
    <t>Victoria</t>
  </si>
  <si>
    <t>June to November 2022</t>
  </si>
  <si>
    <t>South Australia</t>
  </si>
  <si>
    <t>Invasive alien deer (known in Australia as ‘feral deer’; hereafter, ‘alien deer’) are some of Australia’s worst
emerging pest species. Recently, the Government of South Australia launched a four-year program to
reduce the populations of alien fallow deer (Dama dama). The program will focus on coordinating landscape-
scale aerial culls and seeks to deliver the most efficient and humane approach to aerial culling. We
sourced data from a recent program trialling a new approach to aerial culling that incorporated advanced
thermal technology and a second shooter with a shotgun to target fallow deer. We reviewed available video
and audio records of 104 deer culled in the program to assess efficiency and welfare outcomes. We collected
information on the number of shotgun and rifle rounds fired per animal, time between first shot with a shotgun and apparent death, and pursuit time. We completed field dissections of 20 individuals targeted
in the program to assess the lethality of wounds inflicted with shotgun pellets. We also compared program
costs and efficiency against published and unpublished data from ten other aerial-culling programs for
alien deer in South Australia since 2009. A total of 383 shotgun rounds and 10 rifle rounds were used on
104 fallow deer in the focal program. We documented strong improvements to animal welfare for alien
deer targeted with shotguns. The mean (± standard error) time between first shot and apparent death with
a shotgun was 11.1 ± 0.7 seconds; mean pursuit time between detection and apparent death was 49.5 ±
3.4 seconds. Pursuit time increased with subsequent deer controlled within a group; the maximum pursuit
time for any individual was 159.0 seconds. All autopsied animals had received lethal wounds from shotgun
pellets, with 100% receiving lung-penetrating damage and 70% also receiving heart-penetrating damage.
While a program that uses a shotgun and rifle combined with a second shooter and thermographer can
cost more to mobilise, the outcomes measured in cost deer-1 made it the most cost-effective approach of
any program we assessed. Control options that deliver improved animal welfare outcomes and increase
efficiency are desirable for managing expanding populations of alien deer in South Australia and elsewhere.</t>
  </si>
  <si>
    <t>Corey J. A. Bradshaw, Andrew Doube, Annette Scanlon, Brad Page,
Myall Tarran, Kate Fielder, Lindell Andrews, Steve Bourne, Mike Stevens,
Penny Schulz, Tom Kloeden, Seb Drewer, Rob Matthews, Chris Findlay,
Warren White, Craig Leehane, Brett Conibear, James Doube, Ted Rowley</t>
  </si>
  <si>
    <t>Deer causes 'unbelievable' damage to Australia funeral home</t>
  </si>
  <si>
    <t>An Australian funeral home has been left with "unbelievable" damage after a deer made it inside and ran around for 20 minutes, the business has said.
The animal smashed a window before chasing a worker into the building in Melbourne on Thursday, according to managing director James MacLeod.
Once inside, the deer damaged furniture and walls before staff managed to lock it in a room.
Wildlife experts relocated the animal, which had been injured, police said.
Mr MacLeod said it took six rangers to remove the deer from the Tobin Brothers funeral home in the suburb of Ringwood.
"I cannot believe the damage that has been done here in 20 minutes," he told radio station 3AW.
"The facilities, the carpets, the walls and furniture - all need to be replaced immediately."
The Australian Associated Press reported that the damage bill was estimated to be A$100,000 (£60,000; $80,000).
"No one was injured during the incident," police said in a statement.</t>
  </si>
  <si>
    <t>This is a direct cost from a bill after damages occurred</t>
  </si>
  <si>
    <t>direct costing from team that conduct the aerial shooting</t>
  </si>
  <si>
    <t>Costs of deer in Northland</t>
  </si>
  <si>
    <t>Peter J. Sweetapple</t>
  </si>
  <si>
    <t>the potential environmental, economic and social impacts of deer, should they become widley established in northland were quantified as far as the availiable data would allow.</t>
  </si>
  <si>
    <t>Northland region</t>
  </si>
  <si>
    <t>NZ</t>
  </si>
  <si>
    <t>estimation of costings using current availiable litrature and data with a strong focus on similar analysis on goats within the same area, costs were also estimated/reported from the government and other stakeholders.</t>
  </si>
  <si>
    <t>Intensive professional vehicle-based shooting provides local control of invasive rusa deer in a peri-urban landscape</t>
  </si>
  <si>
    <t>Sebastien Comte</t>
  </si>
  <si>
    <t>Rapid eradication of invasive rusa deer (Cervus timorensis) from Wild Duck Island, Australia, using thermally assisted aerial culling and a camera trapping grid</t>
  </si>
  <si>
    <t>Matt Amos</t>
  </si>
  <si>
    <t>2019-2024</t>
  </si>
  <si>
    <t xml:space="preserve">average cost per survey for tools and personal were calculated and reported by author </t>
  </si>
  <si>
    <t>Emperical data was colleted from a 5 year management plan</t>
  </si>
  <si>
    <t>Cost-effectivness of volunteer and contract ground-based shooting of sambar deer in Australia</t>
  </si>
  <si>
    <t>Reported average cost-per-deer-killed was calculated, with the then reported number of deer killed per year the yearly average cost of deer culling within this area could be calculated</t>
  </si>
  <si>
    <t>Establishment of the Invasive White-tailed Deer in Portland, Jamaica</t>
  </si>
  <si>
    <t>Shauna-Lee Chai</t>
  </si>
  <si>
    <t xml:space="preserve">A small population of white-tailed deer (Odocoileus virginianus) was introduced to Jamaica in the 1980s through the accidental release of captive-held animals.  This article is based on a 2003 investigation carried out on their distribution, population size, and socioeconomic impacts of the introduction.  The investigation also sought to ascertain whether the deer represent a threat to biodiversity in the remaining natural forests of the Blue and John Crow Mountains.    O. virginianus in Jamaica is restricted to Portland, where it occupies a relatively small area of approximately 19 km2 in and around the communities of Mt. Pleasant, Industry, Shrewsbury, Content, Darley, Little Spring Garden, Eden Wood, Paradise, and, Swift River.  These areas are characterized by low altitudinal edge habitat interspersed with small agricultural fields growing cash crops like pumpkin, carrot, yam, and corn.  Interviews with local residents indicate that O. virginianus is a serious agricultural pest in the communities in which it occurs.  Farmers in the area complained of deer damaging agricultural crops, and claimed average monthly losses of J$10,000.   By incorporating deer defaecation rate and dung decay rate into line transect  surveys of deer dung, the total deer population in Portland was estimated at 182 individuals.   This alien invasive does not appear to have penetrated the forests of The Blue and John Crow Mountains, and at present, poses more of a threat to small scale agriculture. </t>
  </si>
  <si>
    <t>Portland</t>
  </si>
  <si>
    <t>Context Introduced sambar deer (Cervus unicolor) are increasing in south-eastern Australia, and both volunteer and contract ground-based shooters are being used by management agencies to control their undesirable impacts. However, little is known about the effectiveness and costs of volunteer and contract shooters for controlling deer populations in Australia.
Aim We evaluated the effectiveness and costs of volunteer and contract ground-based shooters for controlling sambar deer and their impacts in a 5-year management program conducted in and around alpine peatlands in Alpine National Park, Victoria.
Methods Ground-based shooting operations were organised in two blocks. Within each block, four ~4200-ha management units were delimited, of which two were randomly assigned as treatment (ground-based shooting) and two as non-treatment (no organised ground-based shooting). In the treatment units, ground-based shooting was conducted using either volunteers or contractors. Each shooting team recorded their effort and the numbers of deer seen and shot, and used a GPS to record their track log and the time and locations of deer shot. Key costs were recorded for both shooter types.
Key results The catch per unit effort of contract shooters was four times greater than that of volunteer shooters. Both shooter types were most effective during the first half of the night and prior to sunrise, and when using a vehicle with a spotlight or walking with thermal-vision equipment. During the day, the use of gundogs to indicate deer significantly increased the success rate of volunteer shooters. Both volunteer and contract shooters used roads and tracks to move in the landscape, but contractors covered more ground than did volunteers. After accounting for key operational costs, the cost per deer killed was 10.1% higher for contract than volunteer shooters.
Conclusions The effectiveness of ground-based shooters is increased by operating at night using vehicles, spotlights and thermal-vision equipment. Contract shooters kill sambar deer at a faster rate, but are slightly more expensive per deer killed, than are volunteer shooters.
Implications Ground-based shooting is likely to be most effective when conducted at night with thermal-vision equipment, and in areas with a high density of roads and tracks.</t>
  </si>
  <si>
    <t>JAM</t>
  </si>
  <si>
    <t>surveys using questionnaire administrated to community members concentratinmg farmers.</t>
  </si>
  <si>
    <t xml:space="preserve">A loss-expenditure approach was used to calculate the cost incurred due to damages and management. Costs of individuals sectors were obtained from the ABARES and ABS where the proportion of industry impacted by deer, and the percentage of net production value lost to deer competion were used to calculate the cost of damage. the proportion of net production value lost was from data derived from farmer-reported proportions of area impacted. the expenditures were derived from results of the ABARES ‘Pest Animal and Weed Management Land Manager Survey in 2016 and 2019–reported by Stenekes and Kancans (2021) where frarmers that made a revenue of more than 5,000$ were included within the study sample, for the public sectors public agencies were contacted in order to gain public expenditure data. </t>
  </si>
  <si>
    <t>Helicopter hire: $905 to 2475 per hour; agency staff and contractors: 183$ per hour; ammunition cost per deer: $6.31 (AUD 2020)</t>
  </si>
  <si>
    <t>Australian Capital Territory</t>
  </si>
  <si>
    <t>Unit ( 139 km2)</t>
  </si>
  <si>
    <t>Unit (316 km2)</t>
  </si>
  <si>
    <t>Unit (135 km2)</t>
  </si>
  <si>
    <t>Unit (46km2)</t>
  </si>
  <si>
    <t>Unit (492km2)</t>
  </si>
  <si>
    <t>Unit (177km2)</t>
  </si>
  <si>
    <t>Unit (8km2)</t>
  </si>
  <si>
    <t>Unit (17km2)</t>
  </si>
  <si>
    <t>Unit (7km2)</t>
  </si>
  <si>
    <t>Unit (60km2)</t>
  </si>
  <si>
    <t xml:space="preserve">The costs of the aerial surveys and helicopter-based shootingwere compiled from invoices and from conversations withstaff in the agencies that conducted, or contracted, theshooting.  For helicopter-based shooting operations, the overheads and deploymentof support staff differed greatly among agencies, and capitalassets such as firearms and vehicles were not purchasedfrom operational budgets.  Ammunition consumption (shots per deer) wasrecorded by an independent observer in the helicopter duringthree operations as part of a separate investigation of animalwelfare outcomes </t>
  </si>
  <si>
    <t>Effectiveness and costs of helicopter-based shooting of deer</t>
  </si>
  <si>
    <t>Bengsen, Andrew &amp; Forsyth, David &amp; Pople, Anthony &amp; Brennan, Michael &amp; Amos, Matt &amp; Leeson, Mal &amp; Cox, Tarnya &amp; Gray, Bec &amp; Orgill, Ollie &amp; Hampton, Jordan &amp; Crittle, Troy &amp; Haebich, Kym.</t>
  </si>
  <si>
    <t>Context
Helicopter-based shooting has been widely used to harvest deer or control overabundant populations in Australasia, but the effectiveness and cost of this method as a deer control tool has seldom been evaluated.
Aims
We evaluated the effectiveness and costs of helicopter-based shooting of fallow deer (Dama dama) and chital deer (Axis axis) in eastern Australia by quantifying (1) reductions in density, (2) the relationship between numbers killed per hour and deer density (i.e. the functional response), (3) the costs of control and (4) the effort–outcome and cost–outcome relationships.
Methods
We evaluated the costs and effectiveness of 12 aerial shooting operations aiming to reduce fallow deer (n = 8) or chital deer (n = 4) population densities at nine sites in eastern Australia. Sites were characterised by fragmented woodland, and all but one operation aimed to reduce grazing competition with livestock. We used pre-control population density estimates and operational monitoring data to estimate the costs and outcomes of each operation. We combined data from all operations to estimate the relationship between shooting effort and population reduction, as well as costs associated with different levels of effort.
Key results
Population reductions for operations ranged from 5% to 75% for fallow deer, and from 48% to 88% for chital deer. The greatest population reductions occurred when effort per unit area was greatest, and the largest reductions in deer density occurred when shooting was conducted in consecutive years. The functional response of hourly kills to deer density was best described by a modified Ivlev model, with the asymptotic kill rate estimated to be 50 deer per hour. There was no support for the existence of a prey refuge, that is, a threshold population density below which no deer could be shot. Helicopter charter was the primary cost of helicopter-based shooting programs, followed by labour; firearm and ammunition costs were relatively minor.
Conclusions
Helicopter-based shooting can rapidly reduce deer populations over large geographic areas, but the magnitude of the reduction depends on the effort (hours of shooting) per deer per km2.
Implications
Aerial shooting operations should include a pre-control population survey so that (1) measurable objectives can be established, (2) the likely level of effort and cost required for objectives to be met can be estimated and planned for, and (3) the realised population reduction can be estimated.</t>
  </si>
  <si>
    <t>Cost summary for 11 deer culling programs completed in South Australia between June and November 2022. P3, P4, and P5 are separate components of a large program and the hours were recorded; all staff hours were costed at $150 per hour. All costs in AU$ and include goods and services tax.</t>
  </si>
  <si>
    <t>Cantara Cull – 366 deer were culled, and 32 goats were opportunistically culled
$99,440 Inc GST – Helicopter / pilot contract (72 hours of fly time)
$6,000 Inc GST – Catering</t>
  </si>
  <si>
    <t>LandscapeSA</t>
  </si>
  <si>
    <t>Unit (490km2)</t>
  </si>
  <si>
    <t xml:space="preserve">Using the days of work reported for feral deer management in Stenekes and Kancans (2021) and the farm wages based on hourly labour rates published by the fair work obudsman (2021): farm and livestock hand level 8, $25.43 per hour. </t>
  </si>
  <si>
    <t>Tasmania</t>
  </si>
  <si>
    <t xml:space="preserve">The number of full-time equivalent staff from the Local Land services, Department of Primary Industries and the NSW national parks and ferallife services that conduct aerial shootings, trappings, fencing and research. A list of people contacted are provided within the report. </t>
  </si>
  <si>
    <t xml:space="preserve">dervied from data provided during discussions with people listed within the report an average cost per council annually was estrimated for City of Gold Coast, Sunchine Coast Regional council, and the Brisbane City Council. </t>
  </si>
  <si>
    <t xml:space="preserve">The reccurent expenditure pf deer control for Parks Victoria, DELWP and Melbourne water were estimated alongside the support from the Bushfire Biodiversity recovery response that has been allocated for deer control and a carry-forward fund. </t>
  </si>
  <si>
    <t xml:space="preserve">These costs are based on the costs of staff dedicated to deer management across Tasmania, ACT and SA. </t>
  </si>
  <si>
    <t>other</t>
  </si>
  <si>
    <t>Fallow Deer</t>
  </si>
  <si>
    <t>Red Deers</t>
  </si>
  <si>
    <t>Limestone Coast, Willalooka</t>
  </si>
  <si>
    <t>Unit ( 150 km2)</t>
  </si>
  <si>
    <t>Limestone Coast, Taratap</t>
  </si>
  <si>
    <t>Unit (110 km2 )</t>
  </si>
  <si>
    <t>Fleurieu Peninsula, Parawa</t>
  </si>
  <si>
    <t>Unit (60 km2 )</t>
  </si>
  <si>
    <t>Unit (30 km2 )</t>
  </si>
  <si>
    <t>Adelaide Hills, Mt Bold</t>
  </si>
  <si>
    <t>Unit (20 km2 )</t>
  </si>
  <si>
    <t>Fleurieu Peninsula, Deep Creek</t>
  </si>
  <si>
    <t>Unit (40 km2 )</t>
  </si>
  <si>
    <t>Limestone Coast, Salt Creek to Tararap</t>
  </si>
  <si>
    <t>Unit (1200 km2 )</t>
  </si>
  <si>
    <t>Eyre Peninsula, Buckleboo</t>
  </si>
  <si>
    <t>Unit (160 km2 )</t>
  </si>
  <si>
    <t>Eyre Peninsula, Chadinga</t>
  </si>
  <si>
    <t>Unit (100 km2 )</t>
  </si>
  <si>
    <t>Cost summary for 11 deer culling programs completed in South Australia between June and November 2022. P3, P4, and P5 are separate components of a large program; all staff hours were costed at $150 per hour. All costs in AU$ and include goods and services tax. These costs include helicopter operations, ammunition, proffessional shooters, PIRSA, Landscape board, NPWS, DEW, SA water, forestry SA, community engagement, and other logistics (e.g. car hire, travel, food)</t>
  </si>
  <si>
    <t>Rusa Deer</t>
  </si>
  <si>
    <t>Cervus timorensis</t>
  </si>
  <si>
    <t>Illawarra</t>
  </si>
  <si>
    <t>2011-2021</t>
  </si>
  <si>
    <t>Reported average cost-per-deer-killed was calculated annually with no variation found between years, with the then reported number of deer killed per year the yearly average cost of deer culling within this area could be calculated</t>
  </si>
  <si>
    <t>Sambar Deer</t>
  </si>
  <si>
    <t>Cervus unicolor</t>
  </si>
  <si>
    <t>2015-2020</t>
  </si>
  <si>
    <t>Alpine National Park</t>
  </si>
  <si>
    <t>Unit (National Park)</t>
  </si>
  <si>
    <r>
      <t>Non-native deer are becoming increasingly common in peri-urban landscapes, where they pose a risk to the health and wellbeing of people. Professional vehicle-based shooting is commonly used to control deer populations in these complex landscapes, but the effectiveness and cost of this method have seldom been evaluated. We analyzed the effectiveness and cost of using professional vehicle-based shooting to reduce the abundance and impacts of non-native rusa deer (</t>
    </r>
    <r>
      <rPr>
        <i/>
        <sz val="12"/>
        <color rgb="FF222222"/>
        <rFont val="Calibri"/>
        <family val="2"/>
        <scheme val="minor"/>
      </rPr>
      <t>Cervus timorensis</t>
    </r>
    <r>
      <rPr>
        <sz val="12"/>
        <color rgb="FF222222"/>
        <rFont val="Calibri"/>
        <family val="2"/>
        <scheme val="minor"/>
      </rPr>
      <t>) in a peri-urban landscape in Wollongong, eastern Australia, during 2011–2021. We incorporated the results from an independent monitoring program into a Bayesian joint-likelihood framework to model spatio-temporal changes in rusa deer abundance. Finally, we used our findings to assess the effect of the management program on the number of complaints from the residents. After eleven years and the removal of 4701 rusa deer from Wollongong LGA (712 km</t>
    </r>
    <r>
      <rPr>
        <vertAlign val="superscript"/>
        <sz val="12"/>
        <color rgb="FF222222"/>
        <rFont val="Calibri"/>
        <family val="2"/>
        <scheme val="minor"/>
      </rPr>
      <t>2</t>
    </r>
    <r>
      <rPr>
        <sz val="12"/>
        <color rgb="FF222222"/>
        <rFont val="Calibri"/>
        <family val="2"/>
        <scheme val="minor"/>
      </rPr>
      <t>), deer abundance did not change in 74.7% of the area, decreased in 19.4% of the area (mostly in and around the sites where the professional shooting occurred), and increased in 5.9% of the area. Shooting was most cost-effective during winter when the longer hours of darkness meant that shooters could visit more sites. In contrast to deer abundance, the probability of residents complaining about deer increased in space and time. Our study shows that professional vehicle-based shooting can locally reduce the abundance of invasive deer in a peri-urban landscape, providing that sufficient control effort is expended. We suggest that shooting effort is currently too thinly spread across this peri-urban landscape, and that concentrating shooting effort on the areas of greatest deer abundance and resident complaints might be a more cost-effective strategy for managing invasive deer in peri-urban landscapes.</t>
    </r>
  </si>
  <si>
    <t>Chital Deer</t>
  </si>
  <si>
    <t>Axis axis</t>
  </si>
  <si>
    <t>Cevus sp.</t>
  </si>
  <si>
    <t>Cervus sp.</t>
  </si>
  <si>
    <t>Cantara Homestead cull</t>
  </si>
  <si>
    <t>FD11</t>
  </si>
  <si>
    <t>FD12</t>
  </si>
  <si>
    <t>FD13</t>
  </si>
  <si>
    <t>FD14</t>
  </si>
  <si>
    <t>FD15</t>
  </si>
  <si>
    <t>FD16</t>
  </si>
  <si>
    <t>FD17</t>
  </si>
  <si>
    <t>FD18</t>
  </si>
  <si>
    <t>FD19</t>
  </si>
  <si>
    <t>FD21</t>
  </si>
  <si>
    <t>FD22</t>
  </si>
  <si>
    <t>FD23</t>
  </si>
  <si>
    <t>FD24</t>
  </si>
  <si>
    <t>FD25</t>
  </si>
  <si>
    <t>FD26</t>
  </si>
  <si>
    <t>FD27</t>
  </si>
  <si>
    <t>FD28</t>
  </si>
  <si>
    <t>FD29</t>
  </si>
  <si>
    <t>FD31</t>
  </si>
  <si>
    <t>FD41</t>
  </si>
  <si>
    <t>Cantara Cull – 366 deer were culled
$99,440 Inc GST – Helicopter / pilot contract (72 hours of fly time)
$6,000 Inc GST – Catering for staff on site</t>
  </si>
  <si>
    <t>FD110</t>
  </si>
  <si>
    <t>FD111</t>
  </si>
  <si>
    <t>FD210</t>
  </si>
  <si>
    <t>FD211</t>
  </si>
  <si>
    <t>FD51</t>
  </si>
  <si>
    <t>FD61</t>
  </si>
  <si>
    <t>FD71</t>
  </si>
  <si>
    <t>FD81</t>
  </si>
  <si>
    <t>FD91</t>
  </si>
  <si>
    <t>FD101</t>
  </si>
  <si>
    <t>FD102</t>
  </si>
  <si>
    <t>FD103</t>
  </si>
  <si>
    <t>FD104</t>
  </si>
  <si>
    <t>FD105</t>
  </si>
  <si>
    <t>FD106</t>
  </si>
  <si>
    <t>FD107</t>
  </si>
  <si>
    <t>FD108</t>
  </si>
  <si>
    <t>FD109</t>
  </si>
  <si>
    <t>FD1010</t>
  </si>
  <si>
    <t>FD1011</t>
  </si>
  <si>
    <t>FD1012</t>
  </si>
  <si>
    <t>Flinders Library</t>
  </si>
  <si>
    <t>Aerial culling invasive alien deer with shotguns improves efficiency and welfare outcomes</t>
  </si>
  <si>
    <t>Thermal aeriel shooting</t>
  </si>
  <si>
    <t>PIRSA</t>
  </si>
  <si>
    <t>Limestone coast</t>
  </si>
  <si>
    <t>Fleurieu Peninsula</t>
  </si>
  <si>
    <t>Adelaide North Hills</t>
  </si>
  <si>
    <t>The total cost of each day during the commenced shooting counted by engine hour, total costs of fuel, crew, markspeople, ammunition and other.</t>
  </si>
  <si>
    <t>The total cost of each day during the commenced shooting counted by engine hour, total costs of fuel, crew, markspeople, ammunition and other. Total of 1,749 deer were culled</t>
  </si>
  <si>
    <t>The total cost of each day during the commenced shooting counted by engine hour, total costs of fuel, crew, markspeople, ammunition and other. A total of 709 deer were culled</t>
  </si>
  <si>
    <t>The total cost of each day during the commenced shooting counted by engine hour, total costs of fuel, crew, markspeople, ammunition and other. Total of 419 deer were culled</t>
  </si>
  <si>
    <t>FD122</t>
  </si>
  <si>
    <t>FD123</t>
  </si>
  <si>
    <t>FD121</t>
  </si>
  <si>
    <t>ABARES</t>
  </si>
  <si>
    <t>Cost represent self-reported expenditure associated with feral deer managemenmt by Australian agricultural landholders. Expenditure may include activities that target multiple pest species, so attribution exclusively to deer is uncertain. Estimate derived from ABARES pest Animal and weed management survey 2022.</t>
  </si>
  <si>
    <t>FD131</t>
  </si>
  <si>
    <t>ABARES Pest Animal and Weed Management Survey 2022</t>
  </si>
  <si>
    <t xml:space="preserve">This report presents the key results from an ABARES national survey of land managers asking about pest animal and weed problems, impacts and management on their property and local area undertaken in 2016, 2019 and 2022. Survey respondents represented land managers across broadacre, horticulture, dairy and other livestock (poultry, deer, goats, horses, bee-keeping) industries, each with an estimated value of agricultural operations (EVAO) of &gt;$5,000 per year, across 53 of the 55 natural resource management regions in Australia.  A total of 6,221, 7,751 and 5,380 sampled land managers participated in the 2016, 2019 and 2022 surveys, respectively. Some of these were repeat respondents, explained in Appendix B (Table B4). This report presents results from a high-level national analysis of the three surveys, therefore substantial differences that occur at smaller scales may be obscured. Regional level analysis for 2016 and 2019 can be found online at agriculture.gov.au/pws-results in a Tableau dashboard, with 2022 results to be added in early 2024. To account for the sample design, and better represent the total farming population from the survey respondents, new methods have been applied to weight the estimates for all three survey results (described in Appendix B). Consequently, some values presented here for 2016 and 2019 differ from those published in previous reports.  </t>
  </si>
  <si>
    <t>FD132</t>
  </si>
  <si>
    <t>ABARES Pest Animal and Weed Management Survey 2023</t>
  </si>
  <si>
    <t>FD133</t>
  </si>
  <si>
    <t>ABARES Pest Animal and Weed Management Survey 2024</t>
  </si>
  <si>
    <t>Legislative council, Hon Phil Twiss to Minister of Agriculture and Food</t>
  </si>
  <si>
    <t xml:space="preserve">depratment of primary industries and regional developments </t>
  </si>
  <si>
    <t>Western Australia</t>
  </si>
  <si>
    <t xml:space="preserve">415. Hon Phil Twiss to the Minister for Agriculture and Food: I refer to the Department of Primary Industries and Regional Development's feral deer control plan, in which shooters in helicopters will use thermal imaging technology to cull feral deer populations. (1) How many helicopters are employed in this program? (2) What is the cost per hour for the helicopters and associated equipment? (3) How many hours will be conducted on this program? (4) What costs have been expended to date on pre-operational surveys? (5) How is this program being funded? Hon Jackie Jarvis replied: I thank the honourable member for some notice of the question. The answer is correct as of 17 June, the date the member asked the question. (1)–(2) One helicopter is utilised. Hourly cost, including pilot time and thermal equipment, is approximately $3,000. (3) Approximately 50 helicopter operational hours will be conducted in 2025. (4) Approximately $200,000 has been spent on surveys to establish population densities at the three control sites. (5) The state government's $3 million three-year—2024–25 to 2026–27—vertebrate pest management program is a budget initiative supported by federal co-investment to address feral deer in Western Australia before they become widespread and established. WA is in a unique situation to control these pests whilst populations are still relatively small and localised. </t>
  </si>
  <si>
    <t>Unit (21330km2)</t>
  </si>
  <si>
    <t>Unit (7023km2)</t>
  </si>
  <si>
    <t>Unit (353.8km2)</t>
  </si>
  <si>
    <t>Unit (1141km2)</t>
  </si>
  <si>
    <t>Tasmanian Government</t>
  </si>
  <si>
    <t>Tasmanian Government information</t>
  </si>
  <si>
    <t>FD151</t>
  </si>
  <si>
    <t>FD152</t>
  </si>
  <si>
    <t>FD153</t>
  </si>
  <si>
    <t>McLeod, R. (2023). Annual Costs of Feral Deer in Australia. Report prepared by eSYS Development Pty Ltd, Centre for Invasive Species Solutions, Canberra.</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</si>
  <si>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https://doi.org/10.3897/neobiota.83.100993</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</si>
  <si>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https://doi.org/10.3897/neobiota.83.100994</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</si>
  <si>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https://doi.org/10.3897/neobiota.83.100995</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</si>
  <si>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https://doi.org/10.3897/neobiota.83.100996</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</si>
  <si>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https://doi.org/10.3897/neobiota.83.100997</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</si>
  <si>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https://doi.org/10.3897/neobiota.83.100998</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</si>
  <si>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https://doi.org/10.3897/neobiota.83.100999</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</si>
  <si>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https://doi.org/10.3897/neobiota.83.101000</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</si>
  <si>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https://doi.org/10.3897/neobiota.83.101001</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</si>
  <si>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https://doi.org/10.3897/neobiota.83.101002</t>
  </si>
  <si>
    <t>Bradshaw CJA, Doube A, Scanlon A, Page B, Tarran M, Fielder K, Andrews L, Bourne S, Stevens M, Schulz P, Kloeden T, Drewer S, Matthews R, Findlay C, White W, Leehane C, Conibear B, Doube J, Rowley T (2023) ﻿Aerial culling invasive alien deer with shotguns improves efficiency and welfare outcomes. NeoBiota 83: 109-129. https://doi.org/10.3897/neobiota.83.101003</t>
  </si>
  <si>
    <t>ABC</t>
  </si>
  <si>
    <r>
      <t xml:space="preserve">Australian Broadcasting Corporation (ABC). (2017, September 1). </t>
    </r>
    <r>
      <rPr>
        <i/>
        <sz val="11"/>
        <color theme="1"/>
        <rFont val="Segoe UI"/>
        <family val="2"/>
      </rPr>
      <t>Deer rampage at Melbourne funeral home causes $100k damage</t>
    </r>
    <r>
      <rPr>
        <sz val="11"/>
        <color theme="1"/>
        <rFont val="Segoe UI"/>
        <family val="2"/>
      </rPr>
      <t>. ABC News. https://www.abc.net.au/news/2017-09-02/deer-rampage-at-melbourne-funeral-home-thousands-dollars-damage/8864612</t>
    </r>
  </si>
  <si>
    <t>Sweetapple, P. J. (2006). Costs of deer in Northland (Landcare Research Contract Report LC0607/060). Landcare Research. Prepared for Northland Regional Council. [1]</t>
  </si>
  <si>
    <r>
      <t xml:space="preserve">Western Australia Parliament, Legislative Council. (2025, June 24). </t>
    </r>
    <r>
      <rPr>
        <i/>
        <sz val="11"/>
        <color theme="1"/>
        <rFont val="Segoe UI"/>
        <family val="2"/>
      </rPr>
      <t>Feral deer culling, helicopters</t>
    </r>
    <r>
      <rPr>
        <sz val="11"/>
        <color theme="1"/>
        <rFont val="Segoe UI"/>
        <family val="2"/>
      </rPr>
      <t xml:space="preserve"> (Question No. 415, Hon Phil Twiss to the Minister for Agriculture and Food). </t>
    </r>
    <r>
      <rPr>
        <i/>
        <sz val="11"/>
        <color theme="1"/>
        <rFont val="Segoe UI"/>
        <family val="2"/>
      </rPr>
      <t>Parliamentary Debates (Hansard)</t>
    </r>
    <r>
      <rPr>
        <sz val="11"/>
        <color theme="1"/>
        <rFont val="Segoe UI"/>
        <family val="2"/>
      </rPr>
      <t>. https://www.parliament.wa.gov.au/hansard/daily/uh/2025-06-24/27</t>
    </r>
  </si>
  <si>
    <r>
      <t xml:space="preserve">Stenekes, N., Ticehurst, J., &amp; Arthur, T. (2023). </t>
    </r>
    <r>
      <rPr>
        <i/>
        <sz val="11"/>
        <color theme="1"/>
        <rFont val="Segoe UI"/>
        <family val="2"/>
      </rPr>
      <t>Pest animal and weed management survey 2016/2019/2022: National land manager survey results</t>
    </r>
    <r>
      <rPr>
        <sz val="11"/>
        <color theme="1"/>
        <rFont val="Segoe UI"/>
        <family val="2"/>
      </rPr>
      <t xml:space="preserve"> (Research Report 23.25). Australian Bureau of Agricultural and Resource Economics and Sciences (ABARES). Report to Established Pests and Weeds, Environmental Biosecurity Office.</t>
    </r>
  </si>
  <si>
    <r>
      <t>Comte, S., Bengsen, A.J., Cunningham, C.X. </t>
    </r>
    <r>
      <rPr>
        <i/>
        <sz val="12"/>
        <color rgb="FF222222"/>
        <rFont val="Arial"/>
        <family val="2"/>
      </rPr>
      <t>et al.</t>
    </r>
    <r>
      <rPr>
        <sz val="12"/>
        <color rgb="FF222222"/>
        <rFont val="Arial"/>
        <family val="2"/>
      </rPr>
      <t> Intensive professional vehicle-based shooting provides local control of invasive rusa deer in a peri-urban landscape. </t>
    </r>
    <r>
      <rPr>
        <i/>
        <sz val="12"/>
        <color rgb="FF222222"/>
        <rFont val="Arial"/>
        <family val="2"/>
      </rPr>
      <t>Biol Invasions</t>
    </r>
    <r>
      <rPr>
        <sz val="12"/>
        <color rgb="FF222222"/>
        <rFont val="Arial"/>
        <family val="2"/>
      </rPr>
      <t> </t>
    </r>
    <r>
      <rPr>
        <b/>
        <sz val="12"/>
        <color rgb="FF222222"/>
        <rFont val="Arial"/>
        <family val="2"/>
      </rPr>
      <t>26</t>
    </r>
    <r>
      <rPr>
        <sz val="12"/>
        <color rgb="FF222222"/>
        <rFont val="Arial"/>
        <family val="2"/>
      </rPr>
      <t>, 2773–2789 (2024). https://doi.org/10.1007/s10530-024-03345-y</t>
    </r>
  </si>
  <si>
    <r>
      <t>Amos, M., Brennan, M., Pople, A.R. </t>
    </r>
    <r>
      <rPr>
        <i/>
        <sz val="12"/>
        <color rgb="FF222222"/>
        <rFont val="Arial"/>
        <family val="2"/>
      </rPr>
      <t>et al.</t>
    </r>
    <r>
      <rPr>
        <sz val="12"/>
        <color rgb="FF222222"/>
        <rFont val="Arial"/>
        <family val="2"/>
      </rPr>
      <t> Rapid eradication of invasive rusa deer (</t>
    </r>
    <r>
      <rPr>
        <i/>
        <sz val="12"/>
        <color rgb="FF222222"/>
        <rFont val="Arial"/>
        <family val="2"/>
      </rPr>
      <t>Cervus timorensis</t>
    </r>
    <r>
      <rPr>
        <sz val="12"/>
        <color rgb="FF222222"/>
        <rFont val="Arial"/>
        <family val="2"/>
      </rPr>
      <t>) from Wild Duck Island, Australia, using thermally assisted aerial culling and a camera trapping grid. </t>
    </r>
    <r>
      <rPr>
        <i/>
        <sz val="12"/>
        <color rgb="FF222222"/>
        <rFont val="Arial"/>
        <family val="2"/>
      </rPr>
      <t>Biol Invasions</t>
    </r>
    <r>
      <rPr>
        <sz val="12"/>
        <color rgb="FF222222"/>
        <rFont val="Arial"/>
        <family val="2"/>
      </rPr>
      <t> </t>
    </r>
    <r>
      <rPr>
        <b/>
        <sz val="12"/>
        <color rgb="FF222222"/>
        <rFont val="Arial"/>
        <family val="2"/>
      </rPr>
      <t>28</t>
    </r>
    <r>
      <rPr>
        <sz val="12"/>
        <color rgb="FF222222"/>
        <rFont val="Arial"/>
        <family val="2"/>
      </rPr>
      <t>, 100 (2026). https://doi.org/10.1007/s10530-026-03815-5</t>
    </r>
  </si>
  <si>
    <t>Comte S, Thomas E, Bengsen AJ, Bennett A, Davis NE, Brown D, Forsyth DM. (2023) Cost-effectiveness of volunteer and contract ground-based shooting of sambar deer in Australia. Wildlife Research 50, 642 –656 . https://doi.org/10.1071/WR22030</t>
  </si>
  <si>
    <t>Chai, S.-L. (2003). Establishment of the invasive white-tailed deer in Portland, Jamaica. Jamaica Conservation and Development Trust, Kingston, Jamaica. [researchgate.net]</t>
  </si>
  <si>
    <t>Bengsen, A., D. Forsyth, A. Pople, M. Brennan, M. Amos, M. Leeson, T. Cox, B. Gray, O. Orgill, J. Hampton, T. Crittle, and K. Haebich. 2022. Effectiveness and costs of helicopter-based shooting of deer. Wildlife Research 50.</t>
  </si>
  <si>
    <t xml:space="preserve">A loss-expenditure approach was used to calculate the cost incurred due to damages and management. Costs of individuals sectors were obtained from the ABARES and ABS where the proportion of industry impacted by deer, and the percentage of net production value lost to deer competion were used to calculate the cost of damage. The proportion of net production value lost was from data derived from farmer-reported proportions of area impacted. the expenditures were derived from results of the ABARES ‘Pest Animal and Weed Management Land Manager Survey in 2016 and 2019–reported by Stenekes and Kancans (2021) where frarmers that made a revenue of more than 5,000$ were included within the study sample, for the public sectors public agencies were contacted in order to gain public expenditure data. </t>
  </si>
  <si>
    <t>BDO EconSearch</t>
  </si>
  <si>
    <t>feral-deer-control-economic-analysis</t>
  </si>
  <si>
    <t xml:space="preserve">The Government of South Australia foresee a need to put forward a business case for enhanced investment in area-wide management to effectively eradicate feral deer within 11 years in South Australia and seeks a cost-benefit analysis (CBA) of this option to support the business case for investment. The Government of South Australia is also seeking to understand the economic impact of this investment option on the South Australian economy and heavily impacted regions. Extended input-output (I-O) analysis was employed for estimation of regional economic impacts. A key objective of this study was to undertake CBA to determine the net benefit of investing in an 11-year area-wide feral deer control program in South Australia with the intention of achieving effective eradication. This option was compared against an ongoing business-as-usual scenario based on historical levels of investment in feral deer population control methods. The results indicate that according to the three evaluation criteria, the area-wide eradication program is a worthwhile investment. The net present value (NPV) of $517.8 million indicates that, relative to businessas-usual, the eradication program will generate a net benefit to the community of $517.8 million over an 11-year period. The decision rule is that the investment will be worthwhile if the NPV is greater than zero. The internal rate of return (IRR) provides a measure for the rate of return to capital invested, here estimated to be 505 per cent for the eradication program. The decision rule for the project to be viable is that the internal rate of return (IRR) be greater than the discount rate which, for this project and projects of this kind is 7 per cent. The BCR for the analysis was 2.7. This indicates that, in a broad sense, for every dollar of investment under the eradication program, $2.70 is returned to the SA community. For a project to be viable, the BCR must be greater than 1.0. This report also presents the economic impacts of the eradication program1 for the SA economy in terms of gross state product (GSP) and employment, and regional economies in terms of gross regional product (GRP) and employment. The regional economies analysed are Eyre and Western, Yorke and Mid North, Limestone Coast and an ‘Adelaide2’ region. In the initial year (2021/22), the expected impact on total GSP is around $3.0 million, including flow-on effects. This is expected to increase to around $108.3 million in the fifth year and $216.9 million in the eleventh year of the eradication program. In terms of total employment, the expected impact in 2021/22 is 21 new FTE jobs, including flow-on effects. This is expected to increase to 222 FTE jobs in the fifth year and 425 FTE jobs in the eleventh year of the eradication program. The report also provides details of economic impacts at a regional level. This report does not value the socio-economic impacts on the wellbeing of private landholders affected by the impacts of feral deer, or the impacts of environmental damage caused by feral deer. Landholder wellbeing and environmental damage would likely be severely impacted if feral deer numbers continue to increase within South Australia. Accordingly, this report is likely to underestimate the extent of the positive economic impacts that would flow from achieving effective eradication of feral deer across South Australia. </t>
  </si>
  <si>
    <t>2021-2022</t>
  </si>
  <si>
    <t xml:space="preserve">Based on the value distribution of each industry, the distribution and density of feral deer, and the direct value impact of feral deer on primary production reported by landholders, the cost of feral deer was estimated for each industry at the Hundred, and subsequently landscape board region scale. Whilst it was possible to estimate how feral deer populations would change over time, the way in which these increasing or decreasing populations would be distributed could not be predicted. For example, it could not be known when an increase in deer numbers would result in an increase in deer density within an area, or when density would remain the same, but area impacted would expand. To deal with this, change in value of predicted annual productivity losses was assumed to be proportional to the increase or decrease in feral deer population for that landscape board region. Models developed by BDO EconSearch (as described in Section 2.1.5) and estimates provided by PIRSA (Table 2-7) were used to derive and represent the gross margins and production revenue associated with the business-as-usual and eradication program scenarios. </t>
  </si>
  <si>
    <t>FD160</t>
  </si>
  <si>
    <t>FD140</t>
  </si>
  <si>
    <t>FD150</t>
  </si>
  <si>
    <t>FD1101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</si>
</sst>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2"/>
      <color theme="1"/>
      <name val="Calibri"/>
      <family val="2"/>
      <scheme val="minor"/>
    </font>
    <font>
      <sz val="11"/>
      <color theme="1"/>
      <name val="Calibri"/>
      <family val="2"/>
      <scheme val="minor"/>
    </font>
    <font>
      <sz val="8"/>
      <name val="Calibri"/>
      <family val="2"/>
    </font>
    <font>
      <sz val="14"/>
      <color indexed="8"/>
      <name val="Arial"/>
      <family val="2"/>
    </font>
    <font>
      <b/>
      <sz val="14"/>
      <color indexed="48"/>
      <name val="Arial"/>
      <family val="2"/>
    </font>
    <font>
      <b/>
      <sz val="14"/>
      <color indexed="8"/>
      <name val="Arial"/>
      <family val="2"/>
    </font>
    <font>
      <sz val="14"/>
      <name val="Arial"/>
      <family val="2"/>
    </font>
    <font>
      <b/>
      <sz val="14"/>
      <name val="Arial"/>
      <family val="2"/>
    </font>
    <font>
      <b/>
      <sz val="12"/>
      <color theme="0"/>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4"/>
      <color theme="1"/>
      <name val="Arial"/>
      <family val="2"/>
    </font>
    <font>
      <b/>
      <sz val="18"/>
      <color theme="0"/>
      <name val="Arial"/>
      <family val="2"/>
    </font>
    <font>
      <sz val="11"/>
      <color rgb="FF000000"/>
      <name val="Calibri"/>
      <family val="2"/>
    </font>
    <font>
      <b/>
      <sz val="11"/>
      <color rgb="FF000000"/>
      <name val="Calibri"/>
      <family val="2"/>
      <scheme val="minor"/>
    </font>
    <font>
      <u/>
      <sz val="12"/>
      <color theme="10"/>
      <name val="Calibri"/>
      <family val="2"/>
      <scheme val="minor"/>
    </font>
    <font>
      <u/>
      <sz val="12"/>
      <color theme="11"/>
      <name val="Calibri"/>
      <family val="2"/>
      <scheme val="minor"/>
    </font>
    <font>
      <sz val="12"/>
      <color rgb="FF000000"/>
      <name val="Arial Narrow"/>
      <family val="2"/>
    </font>
    <font>
      <i/>
      <sz val="12"/>
      <color rgb="FF000000"/>
      <name val="Arial Narrow"/>
      <family val="2"/>
    </font>
    <font>
      <b/>
      <sz val="12"/>
      <name val="Calibri"/>
      <family val="2"/>
      <scheme val="minor"/>
    </font>
    <font>
      <sz val="11"/>
      <color theme="1"/>
      <name val="Calibri"/>
      <family val="2"/>
    </font>
    <font>
      <sz val="11"/>
      <color theme="1"/>
      <name val="Arial"/>
      <family val="2"/>
    </font>
    <font>
      <sz val="12"/>
      <name val="Calibri"/>
      <family val="2"/>
      <scheme val="minor"/>
    </font>
    <font>
      <sz val="12"/>
      <color theme="1"/>
      <name val="Arial"/>
      <family val="2"/>
    </font>
    <font>
      <b/>
      <sz val="14"/>
      <color theme="1"/>
      <name val="Arial"/>
      <family val="2"/>
    </font>
    <font>
      <sz val="12"/>
      <color rgb="FF333333"/>
      <name val="RobotoWebFont"/>
    </font>
    <font>
      <sz val="12"/>
      <name val="RobotoWebFont"/>
    </font>
    <font>
      <sz val="12"/>
      <color rgb="FF202224"/>
      <name val="Calibri"/>
      <family val="2"/>
      <scheme val="minor"/>
    </font>
    <font>
      <vertAlign val="superscript"/>
      <sz val="12"/>
      <color rgb="FF222222"/>
      <name val="Calibri"/>
      <family val="2"/>
      <scheme val="minor"/>
    </font>
    <font>
      <sz val="12"/>
      <color rgb="FF222222"/>
      <name val="Calibri"/>
      <family val="2"/>
      <scheme val="minor"/>
    </font>
    <font>
      <i/>
      <sz val="12"/>
      <color rgb="FF222222"/>
      <name val="Calibri"/>
      <family val="2"/>
      <scheme val="minor"/>
    </font>
    <font>
      <sz val="11"/>
      <color theme="1"/>
      <name val="Segoe UI"/>
      <family val="2"/>
    </font>
    <font>
      <sz val="11"/>
      <color rgb="FF242424"/>
      <name val="Calibri"/>
      <family val="2"/>
      <scheme val="minor"/>
    </font>
    <font>
      <i/>
      <sz val="11"/>
      <color theme="1"/>
      <name val="Segoe UI"/>
      <family val="2"/>
    </font>
    <font>
      <sz val="12"/>
      <color rgb="FF222222"/>
      <name val="Arial"/>
      <family val="2"/>
    </font>
    <font>
      <i/>
      <sz val="12"/>
      <color rgb="FF222222"/>
      <name val="Arial"/>
      <family val="2"/>
    </font>
    <font>
      <b/>
      <sz val="12"/>
      <color rgb="FF222222"/>
      <name val="Arial"/>
      <family val="2"/>
    </font>
    <font>
      <b/>
      <sz val="13"/>
      <color rgb="FF2C2C2C"/>
      <name val="Source Sans Pro"/>
      <family val="2"/>
    </font>
  </fonts>
  <fills count="27">
    <fill>
      <patternFill patternType="none"/>
    </fill>
    <fill>
      <patternFill patternType="gray125"/>
    </fill>
    <fill>
      <patternFill patternType="solid">
        <fgColor rgb="FFFFFF00"/>
        <bgColor indexed="64"/>
      </patternFill>
    </fill>
    <fill>
      <patternFill patternType="solid">
        <fgColor rgb="FF3366FF"/>
        <bgColor indexed="64"/>
      </patternFill>
    </fill>
    <fill>
      <patternFill patternType="solid">
        <fgColor theme="4" tint="0.79998168889431442"/>
        <bgColor indexed="64"/>
      </patternFill>
    </fill>
    <fill>
      <patternFill patternType="solid">
        <fgColor theme="9"/>
        <bgColor indexed="64"/>
      </patternFill>
    </fill>
    <fill>
      <patternFill patternType="solid">
        <fgColor rgb="FF00B0F0"/>
        <bgColor indexed="64"/>
      </patternFill>
    </fill>
    <fill>
      <patternFill patternType="solid">
        <fgColor theme="6"/>
        <bgColor indexed="64"/>
      </patternFill>
    </fill>
    <fill>
      <patternFill patternType="solid">
        <fgColor theme="7"/>
        <bgColor indexed="64"/>
      </patternFill>
    </fill>
    <fill>
      <patternFill patternType="solid">
        <fgColor rgb="FF00B05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theme="4" tint="0.59999389629810485"/>
      </patternFill>
    </fill>
    <fill>
      <patternFill patternType="solid">
        <fgColor rgb="FFFFC000"/>
        <bgColor indexed="64"/>
      </patternFill>
    </fill>
    <fill>
      <patternFill patternType="solid">
        <fgColor theme="6" tint="0.79998168889431442"/>
        <bgColor indexed="64"/>
      </patternFill>
    </fill>
    <fill>
      <patternFill patternType="solid">
        <fgColor rgb="FF92D050"/>
        <bgColor indexed="64"/>
      </patternFill>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1" tint="0.34998626667073579"/>
        <bgColor indexed="64"/>
      </patternFill>
    </fill>
    <fill>
      <patternFill patternType="solid">
        <fgColor theme="7" tint="0.79998168889431442"/>
        <bgColor theme="4" tint="0.59999389629810485"/>
      </patternFill>
    </fill>
    <fill>
      <patternFill patternType="solid">
        <fgColor theme="4" tint="0.79998168889431442"/>
        <bgColor theme="4" tint="0.59999389629810485"/>
      </patternFill>
    </fill>
    <fill>
      <patternFill patternType="solid">
        <fgColor theme="5" tint="0.79998168889431442"/>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0"/>
        <bgColor indexed="64"/>
      </patternFill>
    </fill>
  </fills>
  <borders count="37">
    <border>
      <left/>
      <right/>
      <top/>
      <bottom/>
      <diagonal/>
    </border>
    <border>
      <left style="thin">
        <color auto="1"/>
      </left>
      <right style="thin">
        <color auto="1"/>
      </right>
      <top style="thin">
        <color auto="1"/>
      </top>
      <bottom style="thin">
        <color auto="1"/>
      </bottom>
      <diagonal/>
    </border>
    <border>
      <left/>
      <right/>
      <top style="thin">
        <color theme="6" tint="0.79998168889431442"/>
      </top>
      <bottom style="thin">
        <color theme="6" tint="0.79998168889431442"/>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theme="2"/>
      </left>
      <right style="thin">
        <color theme="2"/>
      </right>
      <top style="thin">
        <color theme="2"/>
      </top>
      <bottom style="thin">
        <color theme="2"/>
      </bottom>
      <diagonal/>
    </border>
    <border>
      <left/>
      <right style="thin">
        <color theme="2"/>
      </right>
      <top/>
      <bottom/>
      <diagonal/>
    </border>
    <border>
      <left/>
      <right style="thin">
        <color theme="2"/>
      </right>
      <top/>
      <bottom style="thin">
        <color theme="2"/>
      </bottom>
      <diagonal/>
    </border>
    <border>
      <left style="thin">
        <color theme="2"/>
      </left>
      <right style="thin">
        <color theme="2"/>
      </right>
      <top/>
      <bottom/>
      <diagonal/>
    </border>
    <border>
      <left style="thin">
        <color theme="2"/>
      </left>
      <right style="thin">
        <color theme="2"/>
      </right>
      <top/>
      <bottom style="thin">
        <color theme="2"/>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diagonal/>
    </border>
    <border>
      <left style="thin">
        <color theme="0" tint="-0.249977111117893"/>
      </left>
      <right style="thin">
        <color theme="0" tint="-0.249977111117893"/>
      </right>
      <top/>
      <bottom/>
      <diagonal/>
    </border>
    <border>
      <left style="thin">
        <color theme="0" tint="-0.249977111117893"/>
      </left>
      <right/>
      <top/>
      <bottom style="thin">
        <color theme="0" tint="-0.249977111117893"/>
      </bottom>
      <diagonal/>
    </border>
    <border>
      <left/>
      <right style="thin">
        <color theme="0" tint="-0.249977111117893"/>
      </right>
      <top/>
      <bottom style="thin">
        <color theme="0" tint="-0.249977111117893"/>
      </bottom>
      <diagonal/>
    </border>
    <border>
      <left/>
      <right/>
      <top/>
      <bottom style="thin">
        <color theme="2"/>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top style="thin">
        <color theme="0" tint="-0.14999847407452621"/>
      </top>
      <bottom/>
      <diagonal/>
    </border>
    <border>
      <left style="thin">
        <color theme="0" tint="-0.14999847407452621"/>
      </left>
      <right/>
      <top/>
      <bottom/>
      <diagonal/>
    </border>
    <border>
      <left style="thin">
        <color theme="0" tint="-0.14999847407452621"/>
      </left>
      <right/>
      <top/>
      <bottom style="thin">
        <color theme="0" tint="-0.14999847407452621"/>
      </bottom>
      <diagonal/>
    </border>
    <border>
      <left style="thin">
        <color theme="2"/>
      </left>
      <right style="thin">
        <color theme="2"/>
      </right>
      <top/>
      <bottom style="thin">
        <color theme="0" tint="-0.14999847407452621"/>
      </bottom>
      <diagonal/>
    </border>
    <border>
      <left style="thin">
        <color theme="2"/>
      </left>
      <right style="thin">
        <color theme="2"/>
      </right>
      <top style="thin">
        <color theme="2"/>
      </top>
      <bottom style="thin">
        <color theme="0" tint="-0.14999847407452621"/>
      </bottom>
      <diagonal/>
    </border>
    <border>
      <left style="thin">
        <color auto="1"/>
      </left>
      <right style="thin">
        <color theme="0" tint="-0.14999847407452621"/>
      </right>
      <top/>
      <bottom/>
      <diagonal/>
    </border>
  </borders>
  <cellStyleXfs count="90">
    <xf numFmtId="0" fontId="0"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cellStyleXfs>
  <cellXfs count="131">
    <xf numFmtId="0" fontId="0" fillId="0" borderId="0" xfId="0"/>
    <xf numFmtId="2" fontId="0" fillId="0" borderId="0" xfId="0" applyNumberFormat="1"/>
    <xf numFmtId="0" fontId="9" fillId="0" borderId="0" xfId="0" applyFont="1"/>
    <xf numFmtId="2" fontId="9" fillId="0" borderId="0" xfId="0" applyNumberFormat="1" applyFont="1"/>
    <xf numFmtId="0" fontId="10" fillId="0" borderId="0" xfId="0" applyFont="1" applyAlignment="1">
      <alignment horizontal="left"/>
    </xf>
    <xf numFmtId="0" fontId="10" fillId="0" borderId="0" xfId="0" applyFont="1"/>
    <xf numFmtId="0" fontId="11" fillId="0" borderId="0" xfId="0" applyFont="1"/>
    <xf numFmtId="0" fontId="0" fillId="0" borderId="0" xfId="0" applyAlignment="1">
      <alignment horizontal="left"/>
    </xf>
    <xf numFmtId="0" fontId="0" fillId="0" borderId="2" xfId="0" applyBorder="1" applyAlignment="1">
      <alignment horizontal="left"/>
    </xf>
    <xf numFmtId="0" fontId="0" fillId="0" borderId="0" xfId="0" pivotButton="1"/>
    <xf numFmtId="0" fontId="0" fillId="0" borderId="0" xfId="0" applyAlignment="1">
      <alignment horizontal="left" indent="1"/>
    </xf>
    <xf numFmtId="0" fontId="0" fillId="0" borderId="0" xfId="0" applyAlignment="1">
      <alignment horizontal="left" indent="2"/>
    </xf>
    <xf numFmtId="0" fontId="9" fillId="0" borderId="2" xfId="0" applyFont="1" applyBorder="1"/>
    <xf numFmtId="0" fontId="9" fillId="0" borderId="0" xfId="0" applyFont="1" applyAlignment="1">
      <alignment horizontal="left"/>
    </xf>
    <xf numFmtId="0" fontId="0" fillId="0" borderId="0" xfId="0" applyAlignment="1">
      <alignment horizontal="left" indent="3"/>
    </xf>
    <xf numFmtId="0" fontId="0" fillId="0" borderId="0" xfId="0" applyAlignment="1">
      <alignment horizontal="left" indent="4"/>
    </xf>
    <xf numFmtId="0" fontId="9" fillId="2" borderId="0" xfId="0" applyFont="1" applyFill="1"/>
    <xf numFmtId="0" fontId="0" fillId="2" borderId="0" xfId="0" applyFill="1"/>
    <xf numFmtId="0" fontId="11" fillId="2" borderId="0" xfId="0" applyFont="1" applyFill="1"/>
    <xf numFmtId="0" fontId="12" fillId="0" borderId="0" xfId="0" applyFont="1"/>
    <xf numFmtId="0" fontId="13" fillId="3" borderId="0" xfId="0" applyFont="1" applyFill="1"/>
    <xf numFmtId="0" fontId="8" fillId="3" borderId="1" xfId="0" applyFont="1" applyFill="1" applyBorder="1"/>
    <xf numFmtId="0" fontId="0" fillId="4" borderId="1" xfId="0" applyFill="1" applyBorder="1"/>
    <xf numFmtId="0" fontId="6" fillId="0" borderId="0" xfId="0" applyFont="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3" xfId="0" applyFill="1" applyBorder="1" applyAlignment="1">
      <alignment horizontal="left" vertical="top"/>
    </xf>
    <xf numFmtId="0" fontId="14" fillId="14" borderId="0" xfId="0" applyFont="1" applyFill="1"/>
    <xf numFmtId="0" fontId="0" fillId="15" borderId="0" xfId="0" applyFill="1"/>
    <xf numFmtId="0" fontId="0" fillId="16" borderId="0" xfId="0" applyFill="1"/>
    <xf numFmtId="0" fontId="0" fillId="4" borderId="0" xfId="0" applyFill="1"/>
    <xf numFmtId="0" fontId="0" fillId="12" borderId="0" xfId="0" applyFill="1" applyAlignment="1">
      <alignment horizontal="left"/>
    </xf>
    <xf numFmtId="0" fontId="14" fillId="11" borderId="0" xfId="0" applyFont="1" applyFill="1"/>
    <xf numFmtId="0" fontId="0" fillId="17" borderId="0" xfId="0" applyFill="1"/>
    <xf numFmtId="0" fontId="0" fillId="2" borderId="0" xfId="0" applyFill="1" applyAlignment="1">
      <alignment horizontal="left"/>
    </xf>
    <xf numFmtId="0" fontId="0" fillId="12" borderId="0" xfId="0" applyFill="1" applyAlignment="1">
      <alignment horizontal="right"/>
    </xf>
    <xf numFmtId="0" fontId="9" fillId="0" borderId="4" xfId="0" applyFont="1" applyBorder="1" applyAlignment="1">
      <alignment horizontal="left"/>
    </xf>
    <xf numFmtId="0" fontId="0" fillId="18" borderId="0" xfId="0" applyFill="1"/>
    <xf numFmtId="0" fontId="15" fillId="5" borderId="0" xfId="0" applyFont="1" applyFill="1"/>
    <xf numFmtId="0" fontId="8" fillId="3" borderId="5" xfId="0" applyFont="1" applyFill="1" applyBorder="1"/>
    <xf numFmtId="0" fontId="0" fillId="0" borderId="6" xfId="0" applyBorder="1"/>
    <xf numFmtId="0" fontId="0" fillId="0" borderId="1" xfId="0" applyBorder="1"/>
    <xf numFmtId="0" fontId="20" fillId="0" borderId="0" xfId="0" applyFont="1"/>
    <xf numFmtId="0" fontId="8" fillId="20" borderId="1" xfId="0" applyFont="1" applyFill="1" applyBorder="1"/>
    <xf numFmtId="0" fontId="0" fillId="19" borderId="1" xfId="0" applyFill="1" applyBorder="1"/>
    <xf numFmtId="0" fontId="0" fillId="21" borderId="0" xfId="0" applyFill="1" applyAlignment="1">
      <alignment horizontal="left" vertical="top"/>
    </xf>
    <xf numFmtId="0" fontId="21" fillId="0" borderId="0" xfId="0" applyFont="1"/>
    <xf numFmtId="0" fontId="23" fillId="0" borderId="0" xfId="0" applyFont="1"/>
    <xf numFmtId="0" fontId="24" fillId="0" borderId="0" xfId="0" applyFont="1" applyAlignment="1">
      <alignment horizontal="left"/>
    </xf>
    <xf numFmtId="0" fontId="0" fillId="22" borderId="3" xfId="0" applyFill="1" applyBorder="1" applyAlignment="1">
      <alignment horizontal="left" vertical="top"/>
    </xf>
    <xf numFmtId="0" fontId="0" fillId="4" borderId="3" xfId="0" applyFill="1" applyBorder="1" applyAlignment="1">
      <alignment horizontal="left" vertical="top"/>
    </xf>
    <xf numFmtId="0" fontId="0" fillId="23" borderId="0" xfId="0" applyFill="1"/>
    <xf numFmtId="0" fontId="21" fillId="12" borderId="0" xfId="0" applyFont="1" applyFill="1"/>
    <xf numFmtId="0" fontId="22" fillId="12" borderId="0" xfId="0" applyFont="1" applyFill="1"/>
    <xf numFmtId="0" fontId="0" fillId="23" borderId="0" xfId="0" applyFill="1" applyAlignment="1">
      <alignment horizontal="right"/>
    </xf>
    <xf numFmtId="0" fontId="23" fillId="18" borderId="0" xfId="0" applyFont="1" applyFill="1"/>
    <xf numFmtId="0" fontId="23" fillId="18" borderId="1" xfId="0" applyFont="1" applyFill="1" applyBorder="1"/>
    <xf numFmtId="0" fontId="8" fillId="0" borderId="1" xfId="0" applyFont="1" applyBorder="1"/>
    <xf numFmtId="0" fontId="0" fillId="24" borderId="0" xfId="0" applyFill="1"/>
    <xf numFmtId="0" fontId="0" fillId="4" borderId="7" xfId="0" applyFill="1" applyBorder="1"/>
    <xf numFmtId="0" fontId="16" fillId="0" borderId="0" xfId="89"/>
    <xf numFmtId="0" fontId="0" fillId="0" borderId="0" xfId="0" applyAlignment="1">
      <alignment wrapText="1"/>
    </xf>
    <xf numFmtId="0" fontId="26" fillId="0" borderId="0" xfId="0" applyFont="1"/>
    <xf numFmtId="0" fontId="16" fillId="0" borderId="0" xfId="89" applyFill="1"/>
    <xf numFmtId="0" fontId="0" fillId="25" borderId="1" xfId="0" applyFill="1" applyBorder="1"/>
    <xf numFmtId="0" fontId="23" fillId="4" borderId="1" xfId="0" applyFont="1" applyFill="1" applyBorder="1"/>
    <xf numFmtId="0" fontId="23" fillId="4" borderId="7" xfId="0" applyFont="1" applyFill="1" applyBorder="1"/>
    <xf numFmtId="0" fontId="23" fillId="26" borderId="6" xfId="0" applyFont="1" applyFill="1" applyBorder="1"/>
    <xf numFmtId="0" fontId="23" fillId="26" borderId="1" xfId="0" applyFont="1" applyFill="1" applyBorder="1"/>
    <xf numFmtId="0" fontId="23" fillId="26" borderId="0" xfId="0" applyFont="1" applyFill="1"/>
    <xf numFmtId="0" fontId="0" fillId="26" borderId="8" xfId="0" applyFill="1" applyBorder="1"/>
    <xf numFmtId="0" fontId="16" fillId="26" borderId="8" xfId="89" applyFill="1" applyBorder="1"/>
    <xf numFmtId="0" fontId="0" fillId="0" borderId="12" xfId="0" applyBorder="1"/>
    <xf numFmtId="0" fontId="0" fillId="0" borderId="9" xfId="0" applyBorder="1"/>
    <xf numFmtId="0" fontId="0" fillId="0" borderId="11" xfId="0" applyBorder="1"/>
    <xf numFmtId="0" fontId="0" fillId="26" borderId="11" xfId="0" applyFill="1" applyBorder="1"/>
    <xf numFmtId="0" fontId="0" fillId="0" borderId="10" xfId="0" applyBorder="1"/>
    <xf numFmtId="0" fontId="0" fillId="0" borderId="8" xfId="0" applyBorder="1"/>
    <xf numFmtId="0" fontId="0" fillId="26" borderId="13" xfId="0" applyFill="1" applyBorder="1"/>
    <xf numFmtId="0" fontId="0" fillId="0" borderId="13" xfId="0" applyBorder="1"/>
    <xf numFmtId="0" fontId="0" fillId="26" borderId="14" xfId="0" applyFill="1" applyBorder="1"/>
    <xf numFmtId="0" fontId="23" fillId="0" borderId="1" xfId="0" applyFont="1" applyBorder="1"/>
    <xf numFmtId="0" fontId="23" fillId="0" borderId="6" xfId="0" applyFont="1" applyBorder="1"/>
    <xf numFmtId="0" fontId="0" fillId="0" borderId="16" xfId="0" applyBorder="1"/>
    <xf numFmtId="0" fontId="23" fillId="4" borderId="0" xfId="0" applyFont="1" applyFill="1"/>
    <xf numFmtId="0" fontId="23" fillId="25" borderId="1" xfId="0" applyFont="1" applyFill="1" applyBorder="1"/>
    <xf numFmtId="0" fontId="27" fillId="0" borderId="0" xfId="0" applyFont="1"/>
    <xf numFmtId="0" fontId="0" fillId="0" borderId="20" xfId="0" applyBorder="1"/>
    <xf numFmtId="0" fontId="0" fillId="0" borderId="22" xfId="0" applyBorder="1" applyAlignment="1">
      <alignment wrapText="1"/>
    </xf>
    <xf numFmtId="0" fontId="0" fillId="0" borderId="21" xfId="0" applyBorder="1"/>
    <xf numFmtId="0" fontId="23" fillId="0" borderId="22" xfId="0" applyFont="1" applyBorder="1"/>
    <xf numFmtId="0" fontId="23" fillId="0" borderId="21" xfId="0" applyFont="1" applyBorder="1"/>
    <xf numFmtId="0" fontId="30" fillId="0" borderId="23" xfId="0" applyFont="1" applyBorder="1"/>
    <xf numFmtId="0" fontId="30" fillId="0" borderId="22" xfId="0" applyFont="1" applyBorder="1" applyAlignment="1">
      <alignment wrapText="1"/>
    </xf>
    <xf numFmtId="0" fontId="0" fillId="0" borderId="22" xfId="0" applyBorder="1"/>
    <xf numFmtId="0" fontId="0" fillId="0" borderId="24" xfId="0" applyBorder="1" applyAlignment="1">
      <alignment wrapText="1"/>
    </xf>
    <xf numFmtId="0" fontId="0" fillId="0" borderId="25" xfId="0" applyBorder="1"/>
    <xf numFmtId="0" fontId="0" fillId="0" borderId="0" xfId="0" applyAlignment="1">
      <alignment horizontal="justify" vertical="top" wrapText="1"/>
    </xf>
    <xf numFmtId="0" fontId="0" fillId="0" borderId="19" xfId="0" applyBorder="1" applyAlignment="1">
      <alignment horizontal="justify" vertical="top" wrapText="1"/>
    </xf>
    <xf numFmtId="0" fontId="0" fillId="0" borderId="22" xfId="0" applyBorder="1" applyAlignment="1">
      <alignment horizontal="justify" vertical="top" wrapText="1"/>
    </xf>
    <xf numFmtId="0" fontId="28" fillId="26" borderId="17" xfId="0" applyFont="1" applyFill="1" applyBorder="1" applyAlignment="1">
      <alignment horizontal="justify" vertical="top" wrapText="1"/>
    </xf>
    <xf numFmtId="0" fontId="0" fillId="26" borderId="18" xfId="0" applyFill="1" applyBorder="1" applyAlignment="1">
      <alignment horizontal="justify" vertical="top"/>
    </xf>
    <xf numFmtId="0" fontId="0" fillId="26" borderId="15" xfId="0" applyFill="1" applyBorder="1" applyAlignment="1">
      <alignment horizontal="justify" vertical="top" wrapText="1"/>
    </xf>
    <xf numFmtId="0" fontId="32" fillId="0" borderId="0" xfId="0" applyFont="1" applyAlignment="1">
      <alignment vertical="center"/>
    </xf>
    <xf numFmtId="0" fontId="33" fillId="0" borderId="0" xfId="0" applyFont="1"/>
    <xf numFmtId="0" fontId="1" fillId="0" borderId="0" xfId="0" applyFont="1"/>
    <xf numFmtId="0" fontId="35" fillId="0" borderId="0" xfId="0" applyFont="1"/>
    <xf numFmtId="0" fontId="16" fillId="0" borderId="0" xfId="89" applyAlignment="1">
      <alignment vertical="center"/>
    </xf>
    <xf numFmtId="0" fontId="38" fillId="0" borderId="0" xfId="0" applyFont="1"/>
    <xf numFmtId="0" fontId="0" fillId="0" borderId="26" xfId="0" applyBorder="1"/>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26" borderId="29" xfId="0" applyFill="1" applyBorder="1"/>
    <xf numFmtId="0" fontId="0" fillId="26" borderId="27" xfId="0" applyFill="1" applyBorder="1"/>
    <xf numFmtId="0" fontId="0" fillId="26" borderId="30" xfId="0" applyFill="1" applyBorder="1"/>
    <xf numFmtId="0" fontId="16" fillId="26" borderId="13" xfId="89" applyFill="1" applyBorder="1"/>
    <xf numFmtId="0" fontId="0" fillId="26" borderId="28" xfId="0" applyFill="1" applyBorder="1"/>
    <xf numFmtId="0" fontId="0" fillId="26" borderId="34" xfId="0" applyFill="1" applyBorder="1"/>
    <xf numFmtId="0" fontId="0" fillId="26" borderId="35" xfId="0" applyFill="1" applyBorder="1"/>
    <xf numFmtId="0" fontId="23" fillId="0" borderId="0" xfId="0" applyFont="1" applyBorder="1"/>
    <xf numFmtId="0" fontId="23" fillId="0" borderId="36" xfId="0" applyFont="1" applyBorder="1"/>
  </cellXfs>
  <cellStyles count="90">
    <cellStyle name="Followed Hyperlink" xfId="68" builtinId="9" hidden="1"/>
    <cellStyle name="Followed Hyperlink" xfId="72" builtinId="9" hidden="1"/>
    <cellStyle name="Followed Hyperlink" xfId="76" builtinId="9" hidden="1"/>
    <cellStyle name="Followed Hyperlink" xfId="80" builtinId="9" hidden="1"/>
    <cellStyle name="Followed Hyperlink" xfId="84" builtinId="9" hidden="1"/>
    <cellStyle name="Followed Hyperlink" xfId="88" builtinId="9" hidden="1"/>
    <cellStyle name="Followed Hyperlink" xfId="86" builtinId="9" hidden="1"/>
    <cellStyle name="Followed Hyperlink" xfId="82" builtinId="9" hidden="1"/>
    <cellStyle name="Followed Hyperlink" xfId="78" builtinId="9" hidden="1"/>
    <cellStyle name="Followed Hyperlink" xfId="74" builtinId="9" hidden="1"/>
    <cellStyle name="Followed Hyperlink" xfId="70" builtinId="9" hidden="1"/>
    <cellStyle name="Followed Hyperlink" xfId="66" builtinId="9" hidden="1"/>
    <cellStyle name="Followed Hyperlink" xfId="24" builtinId="9" hidden="1"/>
    <cellStyle name="Followed Hyperlink" xfId="26" builtinId="9" hidden="1"/>
    <cellStyle name="Followed Hyperlink" xfId="28" builtinId="9" hidden="1"/>
    <cellStyle name="Followed Hyperlink" xfId="32" builtinId="9" hidden="1"/>
    <cellStyle name="Followed Hyperlink" xfId="34" builtinId="9" hidden="1"/>
    <cellStyle name="Followed Hyperlink" xfId="36" builtinId="9" hidden="1"/>
    <cellStyle name="Followed Hyperlink" xfId="40" builtinId="9" hidden="1"/>
    <cellStyle name="Followed Hyperlink" xfId="42" builtinId="9" hidden="1"/>
    <cellStyle name="Followed Hyperlink" xfId="44" builtinId="9" hidden="1"/>
    <cellStyle name="Followed Hyperlink" xfId="48" builtinId="9" hidden="1"/>
    <cellStyle name="Followed Hyperlink" xfId="50" builtinId="9" hidden="1"/>
    <cellStyle name="Followed Hyperlink" xfId="52" builtinId="9" hidden="1"/>
    <cellStyle name="Followed Hyperlink" xfId="56" builtinId="9" hidden="1"/>
    <cellStyle name="Followed Hyperlink" xfId="58" builtinId="9" hidden="1"/>
    <cellStyle name="Followed Hyperlink" xfId="60" builtinId="9" hidden="1"/>
    <cellStyle name="Followed Hyperlink" xfId="64" builtinId="9" hidden="1"/>
    <cellStyle name="Followed Hyperlink" xfId="62" builtinId="9" hidden="1"/>
    <cellStyle name="Followed Hyperlink" xfId="54" builtinId="9" hidden="1"/>
    <cellStyle name="Followed Hyperlink" xfId="46" builtinId="9" hidden="1"/>
    <cellStyle name="Followed Hyperlink" xfId="38" builtinId="9" hidden="1"/>
    <cellStyle name="Followed Hyperlink" xfId="30" builtinId="9" hidden="1"/>
    <cellStyle name="Followed Hyperlink" xfId="22" builtinId="9" hidden="1"/>
    <cellStyle name="Followed Hyperlink" xfId="10" builtinId="9" hidden="1"/>
    <cellStyle name="Followed Hyperlink" xfId="12" builtinId="9" hidden="1"/>
    <cellStyle name="Followed Hyperlink" xfId="16" builtinId="9" hidden="1"/>
    <cellStyle name="Followed Hyperlink" xfId="18" builtinId="9" hidden="1"/>
    <cellStyle name="Followed Hyperlink" xfId="20" builtinId="9" hidden="1"/>
    <cellStyle name="Followed Hyperlink" xfId="14" builtinId="9" hidden="1"/>
    <cellStyle name="Followed Hyperlink" xfId="6" builtinId="9" hidden="1"/>
    <cellStyle name="Followed Hyperlink" xfId="8" builtinId="9" hidden="1"/>
    <cellStyle name="Followed Hyperlink" xfId="4" builtinId="9" hidden="1"/>
    <cellStyle name="Followed Hyperlink" xfId="2" builtinId="9" hidden="1"/>
    <cellStyle name="Hyperlink" xfId="55" builtinId="8" hidden="1"/>
    <cellStyle name="Hyperlink" xfId="59" builtinId="8" hidden="1"/>
    <cellStyle name="Hyperlink" xfId="61" builtinId="8" hidden="1"/>
    <cellStyle name="Hyperlink" xfId="63" builtinId="8" hidden="1"/>
    <cellStyle name="Hyperlink" xfId="67" builtinId="8" hidden="1"/>
    <cellStyle name="Hyperlink" xfId="69" builtinId="8" hidden="1"/>
    <cellStyle name="Hyperlink" xfId="71" builtinId="8" hidden="1"/>
    <cellStyle name="Hyperlink" xfId="75" builtinId="8" hidden="1"/>
    <cellStyle name="Hyperlink" xfId="77" builtinId="8" hidden="1"/>
    <cellStyle name="Hyperlink" xfId="79" builtinId="8" hidden="1"/>
    <cellStyle name="Hyperlink" xfId="83" builtinId="8" hidden="1"/>
    <cellStyle name="Hyperlink" xfId="85" builtinId="8" hidden="1"/>
    <cellStyle name="Hyperlink" xfId="87" builtinId="8" hidden="1"/>
    <cellStyle name="Hyperlink" xfId="81" builtinId="8" hidden="1"/>
    <cellStyle name="Hyperlink" xfId="73" builtinId="8" hidden="1"/>
    <cellStyle name="Hyperlink" xfId="65" builtinId="8" hidden="1"/>
    <cellStyle name="Hyperlink" xfId="57" builtinId="8" hidden="1"/>
    <cellStyle name="Hyperlink" xfId="23"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41" builtinId="8" hidden="1"/>
    <cellStyle name="Hyperlink" xfId="2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5" builtinId="8" hidden="1"/>
    <cellStyle name="Hyperlink" xfId="7" builtinId="8" hidden="1"/>
    <cellStyle name="Hyperlink" xfId="9" builtinId="8" hidden="1"/>
    <cellStyle name="Hyperlink" xfId="3" builtinId="8" hidden="1"/>
    <cellStyle name="Hyperlink" xfId="1" builtinId="8" hidden="1"/>
    <cellStyle name="Hyperlink" xfId="89"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udia Liliana Ballesteros Mejia" refreshedDate="43978.937028356479" createdVersion="4" refreshedVersion="4" minRefreshableVersion="3" recordCount="0" xr:uid="{00000000-000A-0000-FFFF-FFFF06000000}">
  <cacheSource type="worksheet">
    <worksheetSource ref="K1:K65534" sheet="TAXONOMY"/>
  </cacheSource>
  <cacheFields count="11">
    <cacheField name="Species_raw" numFmtId="0">
      <sharedItems containsString="0"/>
    </cacheField>
    <cacheField name="usageKey" numFmtId="0">
      <sharedItems containsString="0" containsNumber="1" containsInteger="1"/>
    </cacheField>
    <cacheField name="status" numFmtId="0">
      <sharedItems containsBlank="1" count="5">
        <s v="ACCEPTED"/>
        <s v="Unmatch"/>
        <s v="DOUBTFUL"/>
        <s v="SYNONYM"/>
        <m/>
      </sharedItems>
    </cacheField>
    <cacheField name="rank" numFmtId="0">
      <sharedItems containsString="0"/>
    </cacheField>
    <cacheField name="kingdom" numFmtId="0">
      <sharedItems containsBlank="1" count="7">
        <s v="Plantae"/>
        <s v="Unmatch"/>
        <s v="Animalia"/>
        <s v="Bacteria"/>
        <s v="Chromista"/>
        <s v="Fungi"/>
        <m/>
      </sharedItems>
    </cacheField>
    <cacheField name="phylum" numFmtId="0">
      <sharedItems containsBlank="1" count="18">
        <s v="Tracheophyta"/>
        <s v="Unmatch"/>
        <s v="Arthropoda"/>
        <s v="Mollusca"/>
        <s v="Chordata"/>
        <s v="Proteobacteria"/>
        <s v="Nematoda"/>
        <s v="Oomycota"/>
        <s v="Basidiomycota"/>
        <s v="Chlorophyta"/>
        <s v="Ascomycota"/>
        <s v="Haptophyta"/>
        <s v="Ochrophyta"/>
        <s v="Annelida"/>
        <s v="Platyhelminthes"/>
        <s v="Ctenophora"/>
        <s v="Chytridiomycota"/>
        <m/>
      </sharedItems>
    </cacheField>
    <cacheField name="class" numFmtId="0">
      <sharedItems containsBlank="1" count="38">
        <s v="Magnoliopsida"/>
        <s v="Unmatch"/>
        <s v="Arachnida"/>
        <s v="Gastropoda"/>
        <s v="Aves"/>
        <s v="Insecta"/>
        <s v="Gammaproteobacteria"/>
        <s v="Liliopsida"/>
        <s v="Actinopterygii"/>
        <s v="Secernentea"/>
        <s v="Reptilia"/>
        <s v="Peronosporea"/>
        <s v="Mammalia"/>
        <s v="Pucciniomycetes"/>
        <s v="Polypodiopsida"/>
        <s v="Maxillopoda"/>
        <s v="Branchiopoda"/>
        <s v="Malacostraca"/>
        <s v="Ulvophyceae"/>
        <s v="Sordariomycetes"/>
        <s v="Prymnesiophyceae"/>
        <s v="Bivalvia"/>
        <s v="Pinopsida"/>
        <s v="Bacillariophyceae"/>
        <s v="Amphibia"/>
        <s v="Polychaeta"/>
        <s v="Monogenea"/>
        <s v="Agaricomycetes"/>
        <s v="Leotiomycetes"/>
        <s v="Tentaculata"/>
        <s v="Cephalaspidomorphi"/>
        <s v="Betaproteobacteria"/>
        <s v="Dothideomycetes"/>
        <s v="Chytridiomycetes"/>
        <s v="Ustilaginomycetes"/>
        <s v="Exobasidiomycetes"/>
        <s v="Phaeophyceae"/>
        <m/>
      </sharedItems>
    </cacheField>
    <cacheField name="order" numFmtId="0">
      <sharedItems containsBlank="1" count="115">
        <s v="Malvales"/>
        <s v="Fabales"/>
        <s v="Unmatch"/>
        <s v="Lamiales"/>
        <s v="Prostigmata"/>
        <s v="Sapindales"/>
        <s v="Stylommatophora"/>
        <s v="Passeriformes"/>
        <s v="Hemiptera"/>
        <s v="Diptera"/>
        <s v="Aeromonadales"/>
        <s v="Asparagales"/>
        <s v="Coleoptera"/>
        <s v="Cypriniformes"/>
        <s v="Anseriformes"/>
        <s v="Caryophyllales"/>
        <s v="Asterales"/>
        <s v="Siluriformes"/>
        <s v="Poales"/>
        <s v="Spirurida"/>
        <s v="Squamata"/>
        <s v="Hymenoptera"/>
        <s v="Saprolegniales"/>
        <s v="Aphelenchida"/>
        <s v="Accipitriformes"/>
        <s v="Gentianales"/>
        <s v="Piperales"/>
        <s v="Rosales"/>
        <s v="Erinaceomorpha"/>
        <s v="Rodentia"/>
        <s v="Pucciniales"/>
        <s v="Salviniales"/>
        <s v="Sessilia"/>
        <s v="Artiodactyla"/>
        <s v="Saxifragales"/>
        <s v="Diplostraca"/>
        <s v="Nymphaeales"/>
        <s v="Lepidoptera"/>
        <s v="Decapoda"/>
        <s v="Carnivora"/>
        <s v="Fagales"/>
        <s v="Bryopsidales"/>
        <s v="Microascales"/>
        <s v="Perciformes"/>
        <s v="Testudines"/>
        <s v="Prymnesiales"/>
        <s v="Myrtales"/>
        <s v="Alismatales"/>
        <s v="Columbiformes"/>
        <s v="Blattodea"/>
        <s v="Venerida"/>
        <s v="Pinales"/>
        <s v="Cymbellales"/>
        <s v="Dioscoreales"/>
        <s v="Ericales"/>
        <s v="Tylenchida"/>
        <s v="Myida"/>
        <s v="Boraginales"/>
        <s v="Commelinales"/>
        <s v="Arecales"/>
        <s v="Anura"/>
        <s v="Perissodactyla"/>
        <s v="Enterobacteriales"/>
        <s v="Primates"/>
        <s v="Esociformes"/>
        <s v="Malpighiales"/>
        <s v="Sabellida"/>
        <s v="Thysanoptera"/>
        <s v="Cyprinodontiformes"/>
        <s v="Hypocreales"/>
        <s v="Gruiformes"/>
        <s v="Gyrodactylidea"/>
        <s v="Proteales"/>
        <s v="Zingiberales"/>
        <s v="Apiales"/>
        <s v="Russulales"/>
        <s v="Solanales"/>
        <s v="Helotiales"/>
        <s v="Tetraodontiformes"/>
        <s v="Mytilida"/>
        <s v="Dipsacales"/>
        <s v="Ostreida"/>
        <s v="Galliformes"/>
        <s v="Rhabditida"/>
        <s v="Lobata"/>
        <s v="Psittaciformes"/>
        <s v="Orthoptera"/>
        <s v="Salmoniformes"/>
        <s v="Ophiostomatales"/>
        <s v="Lagomorpha"/>
        <s v="Oxalidales"/>
        <s v="Geraniales"/>
        <s v="Laurales"/>
        <s v="Petromyzontiformes"/>
        <s v="Diprotodontia"/>
        <s v="Diaporthales"/>
        <s v="Peronosporales"/>
        <s v="Architaenioglossa"/>
        <s v="Polypodiales"/>
        <s v="Scorpaeniformes"/>
        <s v="Burkholderiales"/>
        <s v="Ranunculales"/>
        <s v="Ixodida"/>
        <s v="Unionida"/>
        <s v="Pleosporales"/>
        <s v="Chytridiales"/>
        <s v="Urocystidales"/>
        <s v="Pelecaniformes"/>
        <s v="Tilletiales"/>
        <s v="Laminariales"/>
        <s v="Mesostigmata"/>
        <s v="Glomerellales"/>
        <s v="Xanthomonadales"/>
        <s v="Zygophyllales"/>
        <m/>
      </sharedItems>
    </cacheField>
    <cacheField name="family" numFmtId="0">
      <sharedItems containsBlank="1" count="267">
        <s v="Malvaceae"/>
        <s v="Fabaceae"/>
        <s v="Unmatch"/>
        <s v="Acanthaceae"/>
        <s v="Tarsonemidae"/>
        <s v="Sapindaceae"/>
        <s v="Achatinidae"/>
        <s v="Sturnidae"/>
        <s v="Adelgidae"/>
        <s v="Culicidae"/>
        <s v="Aeromonadaceae"/>
        <s v="Asparagaceae"/>
        <s v="Buprestidae"/>
        <s v="Simaroubaceae"/>
        <s v="Cyprinidae"/>
        <s v="Aleyrodidae"/>
        <s v="Asphodelaceae"/>
        <s v="Anatidae"/>
        <s v="Amaranthaceae"/>
        <s v="Estrildidae"/>
        <s v="Agromyzidae"/>
        <s v="Asteraceae"/>
        <s v="Ictaluridae"/>
        <s v="Tephritidae"/>
        <s v="Poaceae"/>
        <s v="Anguillicolidae"/>
        <s v="Dactyloidae"/>
        <s v="Formicidae"/>
        <s v="Cerambycidae"/>
        <s v="Basellaceae"/>
        <s v="Curculionidae"/>
        <s v="Leptolegniaceae"/>
        <s v="Aphelenchoididae"/>
        <s v="Aphididae"/>
        <s v="Apidae"/>
        <s v="Accipitridae"/>
        <s v="Apocynaceae"/>
        <s v="Arionidae"/>
        <s v="Aristolochiaceae"/>
        <s v="Moraceae"/>
        <s v="Erinaceidae"/>
        <s v="Sciuridae"/>
        <s v="Cactaceae"/>
        <s v="Sphaerophragmiaceae"/>
        <s v="Salviniaceae"/>
        <s v="Balanidae"/>
        <s v="Cicadellidae"/>
        <s v="Blissidae"/>
        <s v="Colubridae"/>
        <s v="Bovidae"/>
        <s v="Chrysomelidae"/>
        <s v="Crassulaceae"/>
        <s v="Scrophulariaceae"/>
        <s v="Aphelenchidae"/>
        <s v="Cercopagidae"/>
        <s v="Cabombaceae"/>
        <s v="Pyralidae"/>
        <s v="Dryophthoridae"/>
        <s v="Portunidae"/>
        <s v="Camelidae"/>
        <s v="Gracillariidae"/>
        <s v="Canidae"/>
        <s v="Aizoaceae"/>
        <s v="Castoridae"/>
        <s v="Casuarinaceae"/>
        <s v="Caulerpaceae"/>
        <s v="Ceratocystidaceae"/>
        <s v="Cervidae"/>
        <s v="Channidae"/>
        <s v="Iridaceae"/>
        <s v="Chelydridae"/>
        <s v="Crambidae"/>
        <s v="Tortricidae"/>
        <s v="Emydidae"/>
        <s v="Prymnesiaceae"/>
        <s v="Calliphoridae"/>
        <s v="Verbenaceae"/>
        <s v="Rutaceae"/>
        <s v="Clariidae"/>
        <s v="Melastomataceae"/>
        <s v="Araceae"/>
        <s v="Rhamnaceae"/>
        <s v="Columbidae"/>
        <s v="Cichlidae"/>
        <s v="Rhinotermitidae"/>
        <s v="Cyrenidae"/>
        <s v="Corvidae"/>
        <s v="Tingidae"/>
        <s v="Kalotermitidae"/>
        <s v="Ceratopogonidae"/>
        <s v="Cupressaceae"/>
        <s v="Brentidae"/>
        <s v="Cyperaceae"/>
        <s v="Dactylopiidae"/>
        <s v="Phylloxeridae"/>
        <s v="Diaspididae"/>
        <s v="Gomphonemataceae"/>
        <s v="Dioscoreaceae"/>
        <s v="Ebenaceae"/>
        <s v="Anguinidae"/>
        <s v="Dreissenidae"/>
        <s v="Drosophilidae"/>
        <s v="Cynipidae"/>
        <s v="Boraginaceae"/>
        <s v="Hydrocharitaceae"/>
        <s v="Pontederiaceae"/>
        <s v="Elaeagnaceae"/>
        <s v="Arecaceae"/>
        <s v="Eleutherodactylidae"/>
        <s v="Equidae"/>
        <s v="Varunidae"/>
        <s v="Hesperiidae"/>
        <s v="Enterobacteriaceae"/>
        <s v="Cercopithecidae"/>
        <s v="Esocidae"/>
        <s v="Myrtaceae"/>
        <s v="Euphorbiaceae"/>
        <s v="Tetranychidae"/>
        <s v="Felidae"/>
        <s v="Serpulidae"/>
        <s v="Thripidae"/>
        <s v="Oleaceae"/>
        <s v="Fundulidae"/>
        <s v="Nectriaceae"/>
        <s v="Rallidae"/>
        <s v="Poeciliidae"/>
        <s v="Viverridae"/>
        <s v="Gliridae"/>
        <s v="Percidae"/>
        <s v="Gyrodactylidae"/>
        <s v="Muscidae"/>
        <s v="Proteaceae"/>
        <s v="Penthaleidae"/>
        <s v="Pentatomidae"/>
        <s v="Coccinellidae"/>
        <s v="Zingiberaceae"/>
        <s v="Noctuidae"/>
        <s v="Helicidae"/>
        <s v="Apiaceae"/>
        <s v="Herpestidae"/>
        <s v="Bondarzewiaceae"/>
        <s v="Heteroderidae"/>
        <s v="Cannabaceae"/>
        <s v="Hyblaeidae"/>
        <s v="Erebidae"/>
        <s v="Hystricidae"/>
        <s v="Iguanidae"/>
        <s v="Balsaminaceae"/>
        <s v="Convolvulaceae"/>
        <s v="Gelechiidae"/>
        <s v="Lacertidae"/>
        <s v="Hyaloscyphaceae"/>
        <s v="Tetraodontidae"/>
        <s v="Centrarchidae"/>
        <s v="Coreidae"/>
        <s v="Mytilidae"/>
        <s v="Brachyceridae"/>
        <s v="Ranidae"/>
        <s v="Caprifoliaceae"/>
        <s v="Onagraceae"/>
        <s v="Solanaceae"/>
        <s v="Lythraceae"/>
        <s v="Pseudococcidae"/>
        <s v="Ostreidae"/>
        <s v="Lamprophiidae"/>
        <s v="Margarodidae"/>
        <s v="Geoemydidae"/>
        <s v="Phasianidae"/>
        <s v="Meliaceae"/>
        <s v="Meloidogynidae"/>
        <s v="Nyctaginaceae"/>
        <s v="Cobitidae"/>
        <s v="Bolinopsidae"/>
        <s v="Moronidae"/>
        <s v="Muridae"/>
        <s v="Mustelidae"/>
        <s v="Psittacidae"/>
        <s v="Myocastoridae"/>
        <s v="Haloragaceae"/>
        <s v="Procyonidae"/>
        <s v="Termitidae"/>
        <s v="Diprionidae"/>
        <s v="Gryllotalpidae"/>
        <s v="Delphacidae"/>
        <s v="Nymphaeaceae"/>
        <s v="Menyanthaceae"/>
        <s v="Salmonidae"/>
        <s v="Cricetidae"/>
        <s v="Ophiostomataceae"/>
        <s v="Oecophoridae"/>
        <s v="Cambaridae"/>
        <s v="Leporidae"/>
        <s v="Silvanidae"/>
        <s v="Oxalidaceae"/>
        <s v="Astacidae"/>
        <s v="Dynastidae"/>
        <s v="Passeridae"/>
        <s v="Passifloraceae"/>
        <s v="Paulowniaceae"/>
        <s v="Geraniaceae"/>
        <s v="Trionychidae"/>
        <s v="Odontobutidae"/>
        <s v="Lauraceae"/>
        <s v="Polygonaceae"/>
        <s v="Petromyzontidae"/>
        <s v="Phascolarctidae"/>
        <s v="Diaporthaceae"/>
        <s v="Phytolaccaceae"/>
        <s v="Peronosporaceae"/>
        <s v="Pinaceae"/>
        <s v="Pittosporaceae"/>
        <s v="Platanaceae"/>
        <s v="Ploceidae"/>
        <s v="Plutellidae"/>
        <s v="Rhacophoridae"/>
        <s v="Ampullariidae"/>
        <s v="Rutelidae"/>
        <s v="Bostrichidae"/>
        <s v="Rosaceae"/>
        <s v="Sesarmidae"/>
        <s v="Dennstaedtiaceae"/>
        <s v="Scorpaenidae"/>
        <s v="Pucciniaceae"/>
        <s v="Pycnonotidae"/>
        <s v="Pythonidae"/>
        <s v="Fagaceae"/>
        <s v="Hoplolaimidae"/>
        <s v="Burkholderiaceae"/>
        <s v="Ranunculaceae"/>
        <s v="Tenuipalpidae"/>
        <s v="Bufonidae"/>
        <s v="Ixodidae"/>
        <s v="Ericaceae"/>
        <s v="Salicaceae"/>
        <s v="Teiidae"/>
        <s v="Saururaceae"/>
        <s v="Anacardiaceae"/>
        <s v="Siluridae"/>
        <s v="Unionidae"/>
        <s v="Siricidae"/>
        <s v="Cecidomyiidae"/>
        <s v="Bignoniaceae"/>
        <s v="Didymellaceae"/>
        <s v="Suidae"/>
        <s v="Synchytriaceae"/>
        <s v="Tamaricaceae"/>
        <s v="Lymantriidae"/>
        <s v="Teredinidae"/>
        <s v="Notodontidae"/>
        <s v="Glomosporiaceae"/>
        <s v="Threskiornithidae"/>
        <s v="Tilletiaceae"/>
        <s v="Commelinaceae"/>
        <s v="Osphronemidae"/>
        <s v="Phalangeridae"/>
        <s v="Dermestidae"/>
        <s v="Tylenchulidae"/>
        <s v="Typhaceae"/>
        <s v="Alariaceae"/>
        <s v="Varroidae"/>
        <s v="Plectosphaerellaceae"/>
        <s v="Vespidae"/>
        <s v="Xanthomonadaceae"/>
        <s v="Pipidae"/>
        <s v="Cossidae"/>
        <s v="Zygophyllaceae"/>
        <m/>
      </sharedItems>
    </cacheField>
    <cacheField name="genus" numFmtId="0">
      <sharedItems containsString="0"/>
    </cacheField>
    <cacheField name="Accepted_species_name" numFmtId="0">
      <sharedItems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05"/>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A3:D450" firstHeaderRow="1" firstDataRow="2" firstDataCol="1"/>
  <pivotFields count="11">
    <pivotField showAll="0"/>
    <pivotField showAll="0"/>
    <pivotField showAll="0">
      <items count="6">
        <item x="0"/>
        <item x="2"/>
        <item x="3"/>
        <item x="1"/>
        <item x="4"/>
        <item t="default"/>
      </items>
    </pivotField>
    <pivotField showAll="0"/>
    <pivotField axis="axisRow" dataField="1" showAll="0">
      <items count="8">
        <item x="2"/>
        <item x="3"/>
        <item x="4"/>
        <item x="5"/>
        <item x="0"/>
        <item x="1"/>
        <item x="6"/>
        <item t="default"/>
      </items>
    </pivotField>
    <pivotField axis="axisRow" showAll="0">
      <items count="19">
        <item x="13"/>
        <item x="2"/>
        <item x="10"/>
        <item x="8"/>
        <item x="9"/>
        <item x="4"/>
        <item x="16"/>
        <item x="15"/>
        <item x="11"/>
        <item x="3"/>
        <item x="6"/>
        <item x="12"/>
        <item x="7"/>
        <item x="14"/>
        <item x="5"/>
        <item x="0"/>
        <item x="1"/>
        <item x="17"/>
        <item t="default"/>
      </items>
    </pivotField>
    <pivotField axis="axisRow" dataField="1" showAll="0">
      <items count="39">
        <item x="8"/>
        <item x="27"/>
        <item x="24"/>
        <item x="2"/>
        <item x="4"/>
        <item x="23"/>
        <item x="31"/>
        <item x="21"/>
        <item x="16"/>
        <item x="30"/>
        <item x="33"/>
        <item x="32"/>
        <item x="35"/>
        <item x="6"/>
        <item x="3"/>
        <item x="5"/>
        <item x="28"/>
        <item x="7"/>
        <item x="0"/>
        <item x="17"/>
        <item x="12"/>
        <item x="15"/>
        <item x="26"/>
        <item x="11"/>
        <item x="36"/>
        <item x="22"/>
        <item x="25"/>
        <item x="14"/>
        <item x="20"/>
        <item x="13"/>
        <item x="10"/>
        <item x="9"/>
        <item x="19"/>
        <item x="29"/>
        <item x="18"/>
        <item x="1"/>
        <item x="34"/>
        <item x="37"/>
        <item t="default"/>
      </items>
    </pivotField>
    <pivotField axis="axisRow" dataField="1" showAll="0">
      <items count="116">
        <item x="24"/>
        <item x="10"/>
        <item x="47"/>
        <item x="14"/>
        <item x="60"/>
        <item x="23"/>
        <item x="74"/>
        <item x="97"/>
        <item x="59"/>
        <item x="33"/>
        <item x="11"/>
        <item x="16"/>
        <item x="49"/>
        <item x="57"/>
        <item x="41"/>
        <item x="100"/>
        <item x="39"/>
        <item x="15"/>
        <item x="105"/>
        <item x="12"/>
        <item x="48"/>
        <item x="58"/>
        <item x="52"/>
        <item x="13"/>
        <item x="68"/>
        <item x="38"/>
        <item x="95"/>
        <item x="53"/>
        <item x="35"/>
        <item x="94"/>
        <item x="80"/>
        <item x="9"/>
        <item x="62"/>
        <item x="54"/>
        <item x="28"/>
        <item x="64"/>
        <item x="1"/>
        <item x="40"/>
        <item x="82"/>
        <item x="25"/>
        <item x="91"/>
        <item x="111"/>
        <item x="70"/>
        <item x="71"/>
        <item x="77"/>
        <item x="8"/>
        <item x="21"/>
        <item x="69"/>
        <item x="102"/>
        <item x="89"/>
        <item x="3"/>
        <item x="109"/>
        <item x="92"/>
        <item x="37"/>
        <item x="84"/>
        <item x="65"/>
        <item x="0"/>
        <item x="110"/>
        <item x="42"/>
        <item x="56"/>
        <item x="46"/>
        <item x="79"/>
        <item x="36"/>
        <item x="88"/>
        <item x="86"/>
        <item x="81"/>
        <item x="90"/>
        <item x="7"/>
        <item x="107"/>
        <item x="43"/>
        <item x="61"/>
        <item x="96"/>
        <item x="93"/>
        <item x="51"/>
        <item x="26"/>
        <item x="104"/>
        <item x="18"/>
        <item x="98"/>
        <item x="63"/>
        <item x="4"/>
        <item x="72"/>
        <item x="45"/>
        <item x="85"/>
        <item x="30"/>
        <item x="101"/>
        <item x="83"/>
        <item x="29"/>
        <item x="27"/>
        <item x="75"/>
        <item x="66"/>
        <item x="87"/>
        <item x="31"/>
        <item x="5"/>
        <item x="22"/>
        <item x="34"/>
        <item x="99"/>
        <item x="32"/>
        <item x="17"/>
        <item x="76"/>
        <item x="19"/>
        <item x="20"/>
        <item x="6"/>
        <item x="44"/>
        <item x="78"/>
        <item x="67"/>
        <item x="108"/>
        <item x="55"/>
        <item x="103"/>
        <item x="2"/>
        <item x="106"/>
        <item x="50"/>
        <item x="112"/>
        <item x="73"/>
        <item x="113"/>
        <item x="114"/>
        <item t="default"/>
      </items>
    </pivotField>
    <pivotField axis="axisRow" showAll="0">
      <items count="268">
        <item x="3"/>
        <item x="35"/>
        <item x="6"/>
        <item x="8"/>
        <item x="10"/>
        <item x="20"/>
        <item x="62"/>
        <item x="258"/>
        <item x="15"/>
        <item x="18"/>
        <item x="215"/>
        <item x="236"/>
        <item x="17"/>
        <item x="25"/>
        <item x="99"/>
        <item x="53"/>
        <item x="32"/>
        <item x="33"/>
        <item x="138"/>
        <item x="34"/>
        <item x="36"/>
        <item x="80"/>
        <item x="107"/>
        <item x="37"/>
        <item x="38"/>
        <item x="11"/>
        <item x="16"/>
        <item x="194"/>
        <item x="21"/>
        <item x="45"/>
        <item x="147"/>
        <item x="29"/>
        <item x="241"/>
        <item x="47"/>
        <item x="172"/>
        <item x="140"/>
        <item x="103"/>
        <item x="217"/>
        <item x="49"/>
        <item x="156"/>
        <item x="91"/>
        <item x="230"/>
        <item x="12"/>
        <item x="227"/>
        <item x="55"/>
        <item x="42"/>
        <item x="75"/>
        <item x="190"/>
        <item x="59"/>
        <item x="61"/>
        <item x="142"/>
        <item x="158"/>
        <item x="63"/>
        <item x="64"/>
        <item x="65"/>
        <item x="240"/>
        <item x="153"/>
        <item x="28"/>
        <item x="66"/>
        <item x="89"/>
        <item x="54"/>
        <item x="113"/>
        <item x="67"/>
        <item x="68"/>
        <item x="70"/>
        <item x="50"/>
        <item x="46"/>
        <item x="83"/>
        <item x="78"/>
        <item x="171"/>
        <item x="134"/>
        <item x="48"/>
        <item x="82"/>
        <item x="252"/>
        <item x="148"/>
        <item x="154"/>
        <item x="86"/>
        <item x="264"/>
        <item x="71"/>
        <item x="51"/>
        <item x="187"/>
        <item x="9"/>
        <item x="90"/>
        <item x="30"/>
        <item x="102"/>
        <item x="92"/>
        <item x="14"/>
        <item x="85"/>
        <item x="26"/>
        <item x="93"/>
        <item x="183"/>
        <item x="220"/>
        <item x="255"/>
        <item x="206"/>
        <item x="95"/>
        <item x="242"/>
        <item x="97"/>
        <item x="181"/>
        <item x="100"/>
        <item x="101"/>
        <item x="57"/>
        <item x="195"/>
        <item x="98"/>
        <item x="106"/>
        <item x="108"/>
        <item x="73"/>
        <item x="112"/>
        <item x="109"/>
        <item x="144"/>
        <item x="232"/>
        <item x="40"/>
        <item x="114"/>
        <item x="19"/>
        <item x="116"/>
        <item x="1"/>
        <item x="225"/>
        <item x="118"/>
        <item x="27"/>
        <item x="122"/>
        <item x="149"/>
        <item x="166"/>
        <item x="199"/>
        <item x="127"/>
        <item x="249"/>
        <item x="96"/>
        <item x="60"/>
        <item x="182"/>
        <item x="129"/>
        <item x="178"/>
        <item x="137"/>
        <item x="139"/>
        <item x="111"/>
        <item x="141"/>
        <item x="226"/>
        <item x="151"/>
        <item x="143"/>
        <item x="104"/>
        <item x="145"/>
        <item x="22"/>
        <item x="146"/>
        <item x="69"/>
        <item x="231"/>
        <item x="88"/>
        <item x="150"/>
        <item x="164"/>
        <item x="202"/>
        <item x="191"/>
        <item x="31"/>
        <item x="246"/>
        <item x="161"/>
        <item x="0"/>
        <item x="165"/>
        <item x="79"/>
        <item x="168"/>
        <item x="169"/>
        <item x="185"/>
        <item x="39"/>
        <item x="173"/>
        <item x="174"/>
        <item x="130"/>
        <item x="175"/>
        <item x="177"/>
        <item x="115"/>
        <item x="155"/>
        <item x="123"/>
        <item x="136"/>
        <item x="248"/>
        <item x="170"/>
        <item x="184"/>
        <item x="201"/>
        <item x="189"/>
        <item x="121"/>
        <item x="159"/>
        <item x="188"/>
        <item x="253"/>
        <item x="163"/>
        <item x="193"/>
        <item x="196"/>
        <item x="197"/>
        <item x="198"/>
        <item x="133"/>
        <item x="132"/>
        <item x="128"/>
        <item x="208"/>
        <item x="204"/>
        <item x="254"/>
        <item x="205"/>
        <item x="167"/>
        <item x="94"/>
        <item x="207"/>
        <item x="209"/>
        <item x="263"/>
        <item x="210"/>
        <item x="211"/>
        <item x="260"/>
        <item x="212"/>
        <item x="213"/>
        <item x="24"/>
        <item x="125"/>
        <item x="203"/>
        <item x="105"/>
        <item x="58"/>
        <item x="179"/>
        <item x="131"/>
        <item x="74"/>
        <item x="162"/>
        <item x="176"/>
        <item x="222"/>
        <item x="223"/>
        <item x="56"/>
        <item x="224"/>
        <item x="124"/>
        <item x="157"/>
        <item x="228"/>
        <item x="214"/>
        <item x="81"/>
        <item x="84"/>
        <item x="218"/>
        <item x="77"/>
        <item x="216"/>
        <item x="233"/>
        <item x="186"/>
        <item x="44"/>
        <item x="5"/>
        <item x="235"/>
        <item x="41"/>
        <item x="221"/>
        <item x="52"/>
        <item x="119"/>
        <item x="219"/>
        <item x="237"/>
        <item x="192"/>
        <item x="13"/>
        <item x="239"/>
        <item x="160"/>
        <item x="43"/>
        <item x="7"/>
        <item x="243"/>
        <item x="244"/>
        <item x="245"/>
        <item x="4"/>
        <item x="234"/>
        <item x="229"/>
        <item x="23"/>
        <item x="247"/>
        <item x="180"/>
        <item x="117"/>
        <item x="152"/>
        <item x="250"/>
        <item x="120"/>
        <item x="251"/>
        <item x="87"/>
        <item x="72"/>
        <item x="200"/>
        <item x="256"/>
        <item x="257"/>
        <item x="238"/>
        <item x="2"/>
        <item x="259"/>
        <item x="110"/>
        <item x="76"/>
        <item x="261"/>
        <item x="126"/>
        <item x="262"/>
        <item x="135"/>
        <item x="265"/>
        <item x="266"/>
        <item t="default"/>
      </items>
    </pivotField>
    <pivotField showAll="0"/>
    <pivotField showAll="0"/>
  </pivotFields>
  <rowFields count="5">
    <field x="4"/>
    <field x="5"/>
    <field x="6"/>
    <field x="7"/>
    <field x="8"/>
  </rowFields>
  <rowItems count="446">
    <i>
      <x/>
    </i>
    <i r="1">
      <x/>
    </i>
    <i r="2">
      <x v="26"/>
    </i>
    <i r="3">
      <x v="89"/>
    </i>
    <i r="4">
      <x v="228"/>
    </i>
    <i r="1">
      <x v="1"/>
    </i>
    <i r="2">
      <x v="3"/>
    </i>
    <i r="3">
      <x v="48"/>
    </i>
    <i r="4">
      <x v="141"/>
    </i>
    <i r="3">
      <x v="57"/>
    </i>
    <i r="4">
      <x v="258"/>
    </i>
    <i r="3">
      <x v="79"/>
    </i>
    <i r="4">
      <x v="181"/>
    </i>
    <i r="4">
      <x v="240"/>
    </i>
    <i r="4">
      <x v="242"/>
    </i>
    <i r="4">
      <x v="246"/>
    </i>
    <i r="2">
      <x v="8"/>
    </i>
    <i r="3">
      <x v="28"/>
    </i>
    <i r="4">
      <x v="60"/>
    </i>
    <i r="2">
      <x v="15"/>
    </i>
    <i r="3">
      <x v="12"/>
    </i>
    <i r="4">
      <x v="142"/>
    </i>
    <i r="4">
      <x v="216"/>
    </i>
    <i r="4">
      <x v="245"/>
    </i>
    <i r="3">
      <x v="19"/>
    </i>
    <i r="4">
      <x v="37"/>
    </i>
    <i r="4">
      <x v="39"/>
    </i>
    <i r="4">
      <x v="40"/>
    </i>
    <i r="4">
      <x v="42"/>
    </i>
    <i r="4">
      <x v="57"/>
    </i>
    <i r="4">
      <x v="65"/>
    </i>
    <i r="4">
      <x v="70"/>
    </i>
    <i r="4">
      <x v="83"/>
    </i>
    <i r="4">
      <x v="92"/>
    </i>
    <i r="4">
      <x v="100"/>
    </i>
    <i r="4">
      <x v="101"/>
    </i>
    <i r="4">
      <x v="219"/>
    </i>
    <i r="4">
      <x v="231"/>
    </i>
    <i r="3">
      <x v="31"/>
    </i>
    <i r="4">
      <x v="5"/>
    </i>
    <i r="4">
      <x v="46"/>
    </i>
    <i r="4">
      <x v="55"/>
    </i>
    <i r="4">
      <x v="59"/>
    </i>
    <i r="4">
      <x v="81"/>
    </i>
    <i r="4">
      <x v="99"/>
    </i>
    <i r="4">
      <x v="159"/>
    </i>
    <i r="4">
      <x v="243"/>
    </i>
    <i r="3">
      <x v="45"/>
    </i>
    <i r="4">
      <x v="3"/>
    </i>
    <i r="4">
      <x v="8"/>
    </i>
    <i r="4">
      <x v="17"/>
    </i>
    <i r="4">
      <x v="33"/>
    </i>
    <i r="4">
      <x v="66"/>
    </i>
    <i r="4">
      <x v="75"/>
    </i>
    <i r="4">
      <x v="89"/>
    </i>
    <i r="4">
      <x v="90"/>
    </i>
    <i r="4">
      <x v="94"/>
    </i>
    <i r="4">
      <x v="151"/>
    </i>
    <i r="4">
      <x v="180"/>
    </i>
    <i r="4">
      <x v="188"/>
    </i>
    <i r="4">
      <x v="205"/>
    </i>
    <i r="4">
      <x v="251"/>
    </i>
    <i r="3">
      <x v="46"/>
    </i>
    <i r="4">
      <x v="19"/>
    </i>
    <i r="4">
      <x v="84"/>
    </i>
    <i r="4">
      <x v="97"/>
    </i>
    <i r="4">
      <x v="117"/>
    </i>
    <i r="4">
      <x v="233"/>
    </i>
    <i r="4">
      <x v="261"/>
    </i>
    <i r="3">
      <x v="53"/>
    </i>
    <i r="4">
      <x v="77"/>
    </i>
    <i r="4">
      <x v="78"/>
    </i>
    <i r="4">
      <x v="108"/>
    </i>
    <i r="4">
      <x v="119"/>
    </i>
    <i r="4">
      <x v="125"/>
    </i>
    <i r="4">
      <x v="131"/>
    </i>
    <i r="4">
      <x v="135"/>
    </i>
    <i r="4">
      <x v="148"/>
    </i>
    <i r="4">
      <x v="165"/>
    </i>
    <i r="4">
      <x v="166"/>
    </i>
    <i r="4">
      <x v="170"/>
    </i>
    <i r="4">
      <x v="196"/>
    </i>
    <i r="4">
      <x v="209"/>
    </i>
    <i r="4">
      <x v="252"/>
    </i>
    <i r="3">
      <x v="64"/>
    </i>
    <i r="4">
      <x v="126"/>
    </i>
    <i r="3">
      <x v="104"/>
    </i>
    <i r="4">
      <x v="249"/>
    </i>
    <i r="2">
      <x v="19"/>
    </i>
    <i r="3">
      <x v="25"/>
    </i>
    <i r="4">
      <x v="27"/>
    </i>
    <i r="4">
      <x v="47"/>
    </i>
    <i r="4">
      <x v="201"/>
    </i>
    <i r="4">
      <x v="229"/>
    </i>
    <i r="4">
      <x v="259"/>
    </i>
    <i r="2">
      <x v="21"/>
    </i>
    <i r="3">
      <x v="96"/>
    </i>
    <i r="4">
      <x v="29"/>
    </i>
    <i r="1">
      <x v="5"/>
    </i>
    <i r="2">
      <x/>
    </i>
    <i r="3">
      <x v="23"/>
    </i>
    <i r="4">
      <x v="69"/>
    </i>
    <i r="4">
      <x v="86"/>
    </i>
    <i r="3">
      <x v="24"/>
    </i>
    <i r="4">
      <x v="118"/>
    </i>
    <i r="4">
      <x v="198"/>
    </i>
    <i r="3">
      <x v="35"/>
    </i>
    <i r="4">
      <x v="111"/>
    </i>
    <i r="3">
      <x v="69"/>
    </i>
    <i r="4">
      <x v="56"/>
    </i>
    <i r="4">
      <x v="63"/>
    </i>
    <i r="4">
      <x v="67"/>
    </i>
    <i r="4">
      <x v="157"/>
    </i>
    <i r="4">
      <x v="169"/>
    </i>
    <i r="4">
      <x v="174"/>
    </i>
    <i r="4">
      <x v="182"/>
    </i>
    <i r="3">
      <x v="90"/>
    </i>
    <i r="4">
      <x v="221"/>
    </i>
    <i r="3">
      <x v="95"/>
    </i>
    <i r="4">
      <x v="226"/>
    </i>
    <i r="3">
      <x v="97"/>
    </i>
    <i r="4">
      <x v="68"/>
    </i>
    <i r="4">
      <x v="138"/>
    </i>
    <i r="4">
      <x v="230"/>
    </i>
    <i r="3">
      <x v="103"/>
    </i>
    <i r="4">
      <x v="247"/>
    </i>
    <i r="2">
      <x v="2"/>
    </i>
    <i r="3">
      <x v="4"/>
    </i>
    <i r="4">
      <x v="41"/>
    </i>
    <i r="4">
      <x v="104"/>
    </i>
    <i r="4">
      <x v="191"/>
    </i>
    <i r="4">
      <x v="212"/>
    </i>
    <i r="4">
      <x v="214"/>
    </i>
    <i r="2">
      <x v="4"/>
    </i>
    <i r="3">
      <x/>
    </i>
    <i r="4">
      <x v="1"/>
    </i>
    <i r="3">
      <x v="3"/>
    </i>
    <i r="4">
      <x v="12"/>
    </i>
    <i r="3">
      <x v="20"/>
    </i>
    <i r="4">
      <x v="72"/>
    </i>
    <i r="3">
      <x v="38"/>
    </i>
    <i r="4">
      <x v="187"/>
    </i>
    <i r="3">
      <x v="42"/>
    </i>
    <i r="4">
      <x v="211"/>
    </i>
    <i r="3">
      <x v="67"/>
    </i>
    <i r="4">
      <x v="76"/>
    </i>
    <i r="4">
      <x v="112"/>
    </i>
    <i r="4">
      <x v="177"/>
    </i>
    <i r="4">
      <x v="195"/>
    </i>
    <i r="4">
      <x v="208"/>
    </i>
    <i r="4">
      <x v="236"/>
    </i>
    <i r="3">
      <x v="68"/>
    </i>
    <i r="4">
      <x v="248"/>
    </i>
    <i r="3">
      <x v="82"/>
    </i>
    <i r="4">
      <x v="206"/>
    </i>
    <i r="2">
      <x v="9"/>
    </i>
    <i r="3">
      <x v="72"/>
    </i>
    <i r="4">
      <x v="184"/>
    </i>
    <i r="2">
      <x v="20"/>
    </i>
    <i r="3">
      <x v="9"/>
    </i>
    <i r="4">
      <x v="38"/>
    </i>
    <i r="4">
      <x v="48"/>
    </i>
    <i r="4">
      <x v="62"/>
    </i>
    <i r="4">
      <x v="237"/>
    </i>
    <i r="3">
      <x v="16"/>
    </i>
    <i r="4">
      <x v="49"/>
    </i>
    <i r="4">
      <x v="116"/>
    </i>
    <i r="4">
      <x v="130"/>
    </i>
    <i r="4">
      <x v="160"/>
    </i>
    <i r="4">
      <x v="202"/>
    </i>
    <i r="4">
      <x v="262"/>
    </i>
    <i r="3">
      <x v="29"/>
    </i>
    <i r="4">
      <x v="185"/>
    </i>
    <i r="4">
      <x v="186"/>
    </i>
    <i r="3">
      <x v="34"/>
    </i>
    <i r="4">
      <x v="110"/>
    </i>
    <i r="3">
      <x v="49"/>
    </i>
    <i r="4">
      <x v="146"/>
    </i>
    <i r="3">
      <x v="70"/>
    </i>
    <i r="4">
      <x v="107"/>
    </i>
    <i r="3">
      <x v="78"/>
    </i>
    <i r="4">
      <x v="61"/>
    </i>
    <i r="3">
      <x v="86"/>
    </i>
    <i r="4">
      <x v="52"/>
    </i>
    <i r="4">
      <x v="80"/>
    </i>
    <i r="4">
      <x v="122"/>
    </i>
    <i r="4">
      <x v="137"/>
    </i>
    <i r="4">
      <x v="158"/>
    </i>
    <i r="4">
      <x v="161"/>
    </i>
    <i r="4">
      <x v="225"/>
    </i>
    <i r="2">
      <x v="30"/>
    </i>
    <i r="3">
      <x v="100"/>
    </i>
    <i r="4">
      <x v="71"/>
    </i>
    <i r="4">
      <x v="88"/>
    </i>
    <i r="4">
      <x v="139"/>
    </i>
    <i r="4">
      <x v="143"/>
    </i>
    <i r="4">
      <x v="144"/>
    </i>
    <i r="4">
      <x v="210"/>
    </i>
    <i r="4">
      <x v="241"/>
    </i>
    <i r="3">
      <x v="102"/>
    </i>
    <i r="4">
      <x v="64"/>
    </i>
    <i r="4">
      <x v="105"/>
    </i>
    <i r="4">
      <x v="120"/>
    </i>
    <i r="4">
      <x v="253"/>
    </i>
    <i r="1">
      <x v="7"/>
    </i>
    <i r="2">
      <x v="33"/>
    </i>
    <i r="3">
      <x v="54"/>
    </i>
    <i r="4">
      <x v="34"/>
    </i>
    <i r="1">
      <x v="9"/>
    </i>
    <i r="2">
      <x v="7"/>
    </i>
    <i r="3">
      <x v="59"/>
    </i>
    <i r="4">
      <x v="98"/>
    </i>
    <i r="4">
      <x v="244"/>
    </i>
    <i r="3">
      <x v="61"/>
    </i>
    <i r="4">
      <x v="163"/>
    </i>
    <i r="3">
      <x v="65"/>
    </i>
    <i r="4">
      <x v="175"/>
    </i>
    <i r="3">
      <x v="107"/>
    </i>
    <i r="4">
      <x v="256"/>
    </i>
    <i r="3">
      <x v="110"/>
    </i>
    <i r="4">
      <x v="87"/>
    </i>
    <i r="2">
      <x v="14"/>
    </i>
    <i r="3">
      <x v="7"/>
    </i>
    <i r="4">
      <x v="10"/>
    </i>
    <i r="3">
      <x v="101"/>
    </i>
    <i r="4">
      <x v="2"/>
    </i>
    <i r="4">
      <x v="23"/>
    </i>
    <i r="4">
      <x v="129"/>
    </i>
    <i r="1">
      <x v="10"/>
    </i>
    <i r="2">
      <x v="31"/>
    </i>
    <i r="3">
      <x v="5"/>
    </i>
    <i r="4">
      <x v="15"/>
    </i>
    <i r="4">
      <x v="16"/>
    </i>
    <i r="3">
      <x v="85"/>
    </i>
    <i r="4">
      <x v="154"/>
    </i>
    <i r="3">
      <x v="99"/>
    </i>
    <i r="4">
      <x v="13"/>
    </i>
    <i r="3">
      <x v="106"/>
    </i>
    <i r="4">
      <x v="14"/>
    </i>
    <i r="4">
      <x v="132"/>
    </i>
    <i r="4">
      <x v="133"/>
    </i>
    <i r="4">
      <x v="254"/>
    </i>
    <i r="1">
      <x v="13"/>
    </i>
    <i r="2">
      <x v="22"/>
    </i>
    <i r="3">
      <x v="43"/>
    </i>
    <i r="4">
      <x v="127"/>
    </i>
    <i>
      <x v="1"/>
    </i>
    <i r="1">
      <x v="14"/>
    </i>
    <i r="2">
      <x v="6"/>
    </i>
    <i r="3">
      <x v="15"/>
    </i>
    <i r="4">
      <x v="43"/>
    </i>
    <i r="2">
      <x v="13"/>
    </i>
    <i r="3">
      <x v="1"/>
    </i>
    <i r="4">
      <x v="4"/>
    </i>
    <i r="3">
      <x v="32"/>
    </i>
    <i r="4">
      <x v="106"/>
    </i>
    <i r="3">
      <x v="111"/>
    </i>
    <i r="4">
      <x v="263"/>
    </i>
    <i>
      <x v="2"/>
    </i>
    <i r="1">
      <x v="8"/>
    </i>
    <i r="2">
      <x v="28"/>
    </i>
    <i r="3">
      <x v="81"/>
    </i>
    <i r="4">
      <x v="204"/>
    </i>
    <i r="1">
      <x v="11"/>
    </i>
    <i r="2">
      <x v="5"/>
    </i>
    <i r="3">
      <x v="22"/>
    </i>
    <i r="4">
      <x v="124"/>
    </i>
    <i r="2">
      <x v="24"/>
    </i>
    <i r="3">
      <x v="51"/>
    </i>
    <i r="4">
      <x v="7"/>
    </i>
    <i r="1">
      <x v="12"/>
    </i>
    <i r="2">
      <x v="23"/>
    </i>
    <i r="3">
      <x v="71"/>
    </i>
    <i r="4">
      <x v="183"/>
    </i>
    <i r="3">
      <x v="93"/>
    </i>
    <i r="4">
      <x v="147"/>
    </i>
    <i>
      <x v="3"/>
    </i>
    <i r="1">
      <x v="2"/>
    </i>
    <i r="2">
      <x v="11"/>
    </i>
    <i r="3">
      <x v="75"/>
    </i>
    <i r="4">
      <x v="95"/>
    </i>
    <i r="2">
      <x v="16"/>
    </i>
    <i r="3">
      <x v="44"/>
    </i>
    <i r="4">
      <x v="134"/>
    </i>
    <i r="2">
      <x v="32"/>
    </i>
    <i r="3">
      <x v="26"/>
    </i>
    <i r="4">
      <x v="93"/>
    </i>
    <i r="3">
      <x v="41"/>
    </i>
    <i r="4">
      <x v="194"/>
    </i>
    <i r="3">
      <x v="47"/>
    </i>
    <i r="4">
      <x v="164"/>
    </i>
    <i r="3">
      <x v="58"/>
    </i>
    <i r="4">
      <x v="58"/>
    </i>
    <i r="3">
      <x v="63"/>
    </i>
    <i r="4">
      <x v="173"/>
    </i>
    <i r="1">
      <x v="3"/>
    </i>
    <i r="2">
      <x v="1"/>
    </i>
    <i r="3">
      <x v="88"/>
    </i>
    <i r="4">
      <x v="35"/>
    </i>
    <i r="2">
      <x v="12"/>
    </i>
    <i r="3">
      <x v="105"/>
    </i>
    <i r="4">
      <x v="250"/>
    </i>
    <i r="2">
      <x v="29"/>
    </i>
    <i r="3">
      <x v="83"/>
    </i>
    <i r="4">
      <x v="207"/>
    </i>
    <i r="4">
      <x v="235"/>
    </i>
    <i r="2">
      <x v="36"/>
    </i>
    <i r="3">
      <x v="109"/>
    </i>
    <i r="4">
      <x v="123"/>
    </i>
    <i r="1">
      <x v="6"/>
    </i>
    <i r="2">
      <x v="10"/>
    </i>
    <i r="3">
      <x v="18"/>
    </i>
    <i r="4">
      <x v="238"/>
    </i>
    <i>
      <x v="4"/>
    </i>
    <i r="1">
      <x v="4"/>
    </i>
    <i r="2">
      <x v="34"/>
    </i>
    <i r="3">
      <x v="14"/>
    </i>
    <i r="4">
      <x v="54"/>
    </i>
    <i r="1">
      <x v="15"/>
    </i>
    <i r="2">
      <x v="17"/>
    </i>
    <i r="3">
      <x v="2"/>
    </i>
    <i r="4">
      <x v="21"/>
    </i>
    <i r="4">
      <x v="136"/>
    </i>
    <i r="3">
      <x v="8"/>
    </i>
    <i r="4">
      <x v="22"/>
    </i>
    <i r="3">
      <x v="10"/>
    </i>
    <i r="4">
      <x v="25"/>
    </i>
    <i r="4">
      <x v="26"/>
    </i>
    <i r="4">
      <x v="140"/>
    </i>
    <i r="3">
      <x v="21"/>
    </i>
    <i r="4">
      <x v="73"/>
    </i>
    <i r="4">
      <x v="200"/>
    </i>
    <i r="3">
      <x v="27"/>
    </i>
    <i r="4">
      <x v="96"/>
    </i>
    <i r="3">
      <x v="76"/>
    </i>
    <i r="4">
      <x v="85"/>
    </i>
    <i r="4">
      <x v="197"/>
    </i>
    <i r="4">
      <x v="255"/>
    </i>
    <i r="3">
      <x v="112"/>
    </i>
    <i r="4">
      <x v="264"/>
    </i>
    <i r="2">
      <x v="18"/>
    </i>
    <i r="3">
      <x v="6"/>
    </i>
    <i r="4">
      <x v="18"/>
    </i>
    <i r="4">
      <x v="192"/>
    </i>
    <i r="3">
      <x v="11"/>
    </i>
    <i r="4">
      <x v="28"/>
    </i>
    <i r="4">
      <x v="155"/>
    </i>
    <i r="3">
      <x v="13"/>
    </i>
    <i r="4">
      <x v="36"/>
    </i>
    <i r="3">
      <x v="17"/>
    </i>
    <i r="4">
      <x v="6"/>
    </i>
    <i r="4">
      <x v="9"/>
    </i>
    <i r="4">
      <x v="31"/>
    </i>
    <i r="4">
      <x v="45"/>
    </i>
    <i r="4">
      <x v="167"/>
    </i>
    <i r="4">
      <x v="189"/>
    </i>
    <i r="4">
      <x v="199"/>
    </i>
    <i r="4">
      <x v="239"/>
    </i>
    <i r="3">
      <x v="30"/>
    </i>
    <i r="4">
      <x v="51"/>
    </i>
    <i r="3">
      <x v="33"/>
    </i>
    <i r="4">
      <x v="30"/>
    </i>
    <i r="4">
      <x v="102"/>
    </i>
    <i r="4">
      <x v="109"/>
    </i>
    <i r="3">
      <x v="36"/>
    </i>
    <i r="4">
      <x v="114"/>
    </i>
    <i r="3">
      <x v="37"/>
    </i>
    <i r="4">
      <x v="53"/>
    </i>
    <i r="4">
      <x v="115"/>
    </i>
    <i r="3">
      <x v="39"/>
    </i>
    <i r="4">
      <x v="20"/>
    </i>
    <i r="3">
      <x v="40"/>
    </i>
    <i r="4">
      <x v="121"/>
    </i>
    <i r="3">
      <x v="50"/>
    </i>
    <i r="4">
      <x/>
    </i>
    <i r="4">
      <x v="32"/>
    </i>
    <i r="4">
      <x v="171"/>
    </i>
    <i r="4">
      <x v="179"/>
    </i>
    <i r="4">
      <x v="227"/>
    </i>
    <i r="4">
      <x v="260"/>
    </i>
    <i r="3">
      <x v="52"/>
    </i>
    <i r="4">
      <x v="145"/>
    </i>
    <i r="3">
      <x v="55"/>
    </i>
    <i r="4">
      <x v="113"/>
    </i>
    <i r="4">
      <x v="178"/>
    </i>
    <i r="4">
      <x v="220"/>
    </i>
    <i r="3">
      <x v="56"/>
    </i>
    <i r="4">
      <x v="150"/>
    </i>
    <i r="3">
      <x v="60"/>
    </i>
    <i r="4">
      <x v="149"/>
    </i>
    <i r="4">
      <x v="152"/>
    </i>
    <i r="4">
      <x v="162"/>
    </i>
    <i r="4">
      <x v="172"/>
    </i>
    <i r="3">
      <x v="62"/>
    </i>
    <i r="4">
      <x v="44"/>
    </i>
    <i r="4">
      <x v="168"/>
    </i>
    <i r="3">
      <x v="66"/>
    </i>
    <i r="4">
      <x v="176"/>
    </i>
    <i r="3">
      <x v="74"/>
    </i>
    <i r="4">
      <x v="24"/>
    </i>
    <i r="4">
      <x v="224"/>
    </i>
    <i r="3">
      <x v="80"/>
    </i>
    <i r="4">
      <x v="193"/>
    </i>
    <i r="4">
      <x v="203"/>
    </i>
    <i r="3">
      <x v="84"/>
    </i>
    <i r="4">
      <x v="213"/>
    </i>
    <i r="3">
      <x v="87"/>
    </i>
    <i r="4">
      <x v="50"/>
    </i>
    <i r="4">
      <x v="103"/>
    </i>
    <i r="4">
      <x v="156"/>
    </i>
    <i r="4">
      <x v="215"/>
    </i>
    <i r="4">
      <x v="217"/>
    </i>
    <i r="3">
      <x v="92"/>
    </i>
    <i r="4">
      <x v="11"/>
    </i>
    <i r="4">
      <x v="153"/>
    </i>
    <i r="4">
      <x v="218"/>
    </i>
    <i r="4">
      <x v="223"/>
    </i>
    <i r="4">
      <x v="232"/>
    </i>
    <i r="3">
      <x v="94"/>
    </i>
    <i r="4">
      <x v="79"/>
    </i>
    <i r="4">
      <x v="128"/>
    </i>
    <i r="3">
      <x v="98"/>
    </i>
    <i r="4">
      <x v="74"/>
    </i>
    <i r="4">
      <x v="234"/>
    </i>
    <i r="3">
      <x v="113"/>
    </i>
    <i r="4">
      <x v="265"/>
    </i>
    <i r="2">
      <x v="25"/>
    </i>
    <i r="3">
      <x v="73"/>
    </i>
    <i r="4">
      <x v="82"/>
    </i>
    <i r="4">
      <x v="190"/>
    </i>
    <i r="2">
      <x v="27"/>
    </i>
    <i r="3">
      <x v="77"/>
    </i>
    <i r="4">
      <x v="91"/>
    </i>
    <i r="3">
      <x v="91"/>
    </i>
    <i r="4">
      <x v="222"/>
    </i>
    <i>
      <x v="5"/>
    </i>
    <i r="1">
      <x v="16"/>
    </i>
    <i r="2">
      <x v="35"/>
    </i>
    <i r="3">
      <x v="108"/>
    </i>
    <i r="4">
      <x v="257"/>
    </i>
    <i>
      <x v="6"/>
    </i>
    <i r="1">
      <x v="17"/>
    </i>
    <i r="2">
      <x v="37"/>
    </i>
    <i r="3">
      <x v="114"/>
    </i>
    <i r="4">
      <x v="266"/>
    </i>
    <i t="grand">
      <x/>
    </i>
  </rowItems>
  <colFields count="1">
    <field x="-2"/>
  </colFields>
  <colItems count="3">
    <i>
      <x/>
    </i>
    <i i="1">
      <x v="1"/>
    </i>
    <i i="2">
      <x v="2"/>
    </i>
  </colItems>
  <dataFields count="3">
    <dataField name="Count of kingdom" fld="4" subtotal="count" baseField="0" baseItem="0"/>
    <dataField name="Count of class" fld="6" subtotal="count" baseField="0" baseItem="0"/>
    <dataField name="Count of order" fld="7"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3" Type="http://schemas.openxmlformats.org/officeDocument/2006/relationships/hyperlink" Target="mailto:marthathallas-lamb@flinders.edu.au" TargetMode="External"/><Relationship Id="rId18" Type="http://schemas.openxmlformats.org/officeDocument/2006/relationships/hyperlink" Target="mailto:marthathallas-lamb@flinders.edu.au" TargetMode="External"/><Relationship Id="rId26" Type="http://schemas.openxmlformats.org/officeDocument/2006/relationships/hyperlink" Target="mailto:marthathallas-lamb@flinders.edu.au" TargetMode="External"/><Relationship Id="rId39" Type="http://schemas.openxmlformats.org/officeDocument/2006/relationships/hyperlink" Target="mailto:marthathallas-lamb@flinders.edu.au" TargetMode="External"/><Relationship Id="rId21" Type="http://schemas.openxmlformats.org/officeDocument/2006/relationships/hyperlink" Target="mailto:marthathallas-lamb@flinders.edu.au" TargetMode="External"/><Relationship Id="rId34" Type="http://schemas.openxmlformats.org/officeDocument/2006/relationships/hyperlink" Target="mailto:marthathallas-lamb@flinders.edu.au" TargetMode="External"/><Relationship Id="rId42" Type="http://schemas.openxmlformats.org/officeDocument/2006/relationships/hyperlink" Target="mailto:marthathallas-lamb@flinders.edu.au" TargetMode="External"/><Relationship Id="rId47" Type="http://schemas.openxmlformats.org/officeDocument/2006/relationships/hyperlink" Target="mailto:marthathallas-lamb@flinders.edu.au" TargetMode="External"/><Relationship Id="rId50" Type="http://schemas.openxmlformats.org/officeDocument/2006/relationships/hyperlink" Target="mailto:marthathallas-lamb@flinders.edu.au" TargetMode="External"/><Relationship Id="rId55" Type="http://schemas.openxmlformats.org/officeDocument/2006/relationships/hyperlink" Target="https://doi.org/10.1071/WR22030" TargetMode="External"/><Relationship Id="rId7" Type="http://schemas.openxmlformats.org/officeDocument/2006/relationships/hyperlink" Target="mailto:marthathallas-lamb@flinders.edu.au" TargetMode="External"/><Relationship Id="rId2" Type="http://schemas.openxmlformats.org/officeDocument/2006/relationships/hyperlink" Target="mailto:marthathallas-lamb@flinders.edu.au" TargetMode="External"/><Relationship Id="rId16" Type="http://schemas.openxmlformats.org/officeDocument/2006/relationships/hyperlink" Target="mailto:marthathallas-lamb@flinders.edu.au" TargetMode="External"/><Relationship Id="rId29" Type="http://schemas.openxmlformats.org/officeDocument/2006/relationships/hyperlink" Target="mailto:marthathallas-lamb@flinders.edu.au" TargetMode="External"/><Relationship Id="rId11" Type="http://schemas.openxmlformats.org/officeDocument/2006/relationships/hyperlink" Target="mailto:marthathallas-lamb@flinders.edu.au" TargetMode="External"/><Relationship Id="rId24" Type="http://schemas.openxmlformats.org/officeDocument/2006/relationships/hyperlink" Target="mailto:marthathallas-lamb@flinders.edu.au" TargetMode="External"/><Relationship Id="rId32" Type="http://schemas.openxmlformats.org/officeDocument/2006/relationships/hyperlink" Target="mailto:marthathallas-lamb@flinders.edu.au" TargetMode="External"/><Relationship Id="rId37" Type="http://schemas.openxmlformats.org/officeDocument/2006/relationships/hyperlink" Target="mailto:marthathallas-lamb@flinders.edu.au" TargetMode="External"/><Relationship Id="rId40" Type="http://schemas.openxmlformats.org/officeDocument/2006/relationships/hyperlink" Target="mailto:marthathallas-lamb@flinders.edu.au" TargetMode="External"/><Relationship Id="rId45" Type="http://schemas.openxmlformats.org/officeDocument/2006/relationships/hyperlink" Target="mailto:marthathallas-lamb@flinders.edu.au" TargetMode="External"/><Relationship Id="rId53" Type="http://schemas.openxmlformats.org/officeDocument/2006/relationships/hyperlink" Target="mailto:marthathallas-lamb@flinders.edu.au" TargetMode="External"/><Relationship Id="rId58" Type="http://schemas.openxmlformats.org/officeDocument/2006/relationships/printerSettings" Target="../printerSettings/printerSettings1.bin"/><Relationship Id="rId5" Type="http://schemas.openxmlformats.org/officeDocument/2006/relationships/hyperlink" Target="mailto:marthathallas-lamb@flinders.edu.au" TargetMode="External"/><Relationship Id="rId19" Type="http://schemas.openxmlformats.org/officeDocument/2006/relationships/hyperlink" Target="mailto:marthathallas-lamb@flinders.edu.au" TargetMode="External"/><Relationship Id="rId4" Type="http://schemas.openxmlformats.org/officeDocument/2006/relationships/hyperlink" Target="mailto:marthathallas-lamb@flinders.edu.au" TargetMode="External"/><Relationship Id="rId9" Type="http://schemas.openxmlformats.org/officeDocument/2006/relationships/hyperlink" Target="mailto:marthathallas-lamb@flinders.edu.au" TargetMode="External"/><Relationship Id="rId14" Type="http://schemas.openxmlformats.org/officeDocument/2006/relationships/hyperlink" Target="mailto:marthathallas-lamb@flinders.edu.au" TargetMode="External"/><Relationship Id="rId22" Type="http://schemas.openxmlformats.org/officeDocument/2006/relationships/hyperlink" Target="mailto:marthathallas-lamb@flinders.edu.au" TargetMode="External"/><Relationship Id="rId27" Type="http://schemas.openxmlformats.org/officeDocument/2006/relationships/hyperlink" Target="mailto:marthathallas-lamb@flinders.edu.au" TargetMode="External"/><Relationship Id="rId30" Type="http://schemas.openxmlformats.org/officeDocument/2006/relationships/hyperlink" Target="mailto:marthathallas-lamb@flinders.edu.au" TargetMode="External"/><Relationship Id="rId35" Type="http://schemas.openxmlformats.org/officeDocument/2006/relationships/hyperlink" Target="mailto:marthathallas-lamb@flinders.edu.au" TargetMode="External"/><Relationship Id="rId43" Type="http://schemas.openxmlformats.org/officeDocument/2006/relationships/hyperlink" Target="mailto:marthathallas-lamb@flinders.edu.au" TargetMode="External"/><Relationship Id="rId48" Type="http://schemas.openxmlformats.org/officeDocument/2006/relationships/hyperlink" Target="mailto:marthathallas-lamb@flinders.edu.au" TargetMode="External"/><Relationship Id="rId56" Type="http://schemas.openxmlformats.org/officeDocument/2006/relationships/hyperlink" Target="https://www.researchgate.net/profile/Shauna-Lee-Chai/publication/237627831_Establishment_of_the_Invasive_White-tailed_Deer_in_Portland_Jamaica/links/58c1afa0aca272e36dcc8655/Establishment-of-the-Invasive-White-tailed-Deer-in-Portland-Jamaica.pdf" TargetMode="External"/><Relationship Id="rId8" Type="http://schemas.openxmlformats.org/officeDocument/2006/relationships/hyperlink" Target="mailto:marthathallas-lamb@flinders.edu.au" TargetMode="External"/><Relationship Id="rId51" Type="http://schemas.openxmlformats.org/officeDocument/2006/relationships/hyperlink" Target="mailto:marthathallas-lamb@flinders.edu.au" TargetMode="External"/><Relationship Id="rId3" Type="http://schemas.openxmlformats.org/officeDocument/2006/relationships/hyperlink" Target="mailto:marthathallas-lamb@flinders.edu.au" TargetMode="External"/><Relationship Id="rId12" Type="http://schemas.openxmlformats.org/officeDocument/2006/relationships/hyperlink" Target="mailto:marthathallas-lamb@flinders.edu.au" TargetMode="External"/><Relationship Id="rId17" Type="http://schemas.openxmlformats.org/officeDocument/2006/relationships/hyperlink" Target="mailto:marthathallas-lamb@flinders.edu.au" TargetMode="External"/><Relationship Id="rId25" Type="http://schemas.openxmlformats.org/officeDocument/2006/relationships/hyperlink" Target="mailto:marthathallas-lamb@flinders.edu.au" TargetMode="External"/><Relationship Id="rId33" Type="http://schemas.openxmlformats.org/officeDocument/2006/relationships/hyperlink" Target="mailto:marthathallas-lamb@flinders.edu.au" TargetMode="External"/><Relationship Id="rId38" Type="http://schemas.openxmlformats.org/officeDocument/2006/relationships/hyperlink" Target="mailto:marthathallas-lamb@flinders.edu.au" TargetMode="External"/><Relationship Id="rId46" Type="http://schemas.openxmlformats.org/officeDocument/2006/relationships/hyperlink" Target="mailto:marthathallas-lamb@flinders.edu.au" TargetMode="External"/><Relationship Id="rId20" Type="http://schemas.openxmlformats.org/officeDocument/2006/relationships/hyperlink" Target="mailto:marthathallas-lamb@flinders.edu.au" TargetMode="External"/><Relationship Id="rId41" Type="http://schemas.openxmlformats.org/officeDocument/2006/relationships/hyperlink" Target="mailto:marthathallas-lamb@flinders.edu.au" TargetMode="External"/><Relationship Id="rId54" Type="http://schemas.openxmlformats.org/officeDocument/2006/relationships/hyperlink" Target="https://www.nrc.govt.nz/media/ailkimnx/ourlandourairsoe2012.pdf" TargetMode="External"/><Relationship Id="rId1" Type="http://schemas.openxmlformats.org/officeDocument/2006/relationships/hyperlink" Target="mailto:marthathallas-lamb@flinders.edu.au" TargetMode="External"/><Relationship Id="rId6" Type="http://schemas.openxmlformats.org/officeDocument/2006/relationships/hyperlink" Target="mailto:marthathallas-lamb@flinders.edu.au" TargetMode="External"/><Relationship Id="rId15" Type="http://schemas.openxmlformats.org/officeDocument/2006/relationships/hyperlink" Target="mailto:marthathallas-lamb@flinders.edu.au" TargetMode="External"/><Relationship Id="rId23" Type="http://schemas.openxmlformats.org/officeDocument/2006/relationships/hyperlink" Target="mailto:marthathallas-lamb@flinders.edu.au" TargetMode="External"/><Relationship Id="rId28" Type="http://schemas.openxmlformats.org/officeDocument/2006/relationships/hyperlink" Target="mailto:marthathallas-lamb@flinders.edu.au" TargetMode="External"/><Relationship Id="rId36" Type="http://schemas.openxmlformats.org/officeDocument/2006/relationships/hyperlink" Target="mailto:marthathallas-lamb@flinders.edu.au" TargetMode="External"/><Relationship Id="rId49" Type="http://schemas.openxmlformats.org/officeDocument/2006/relationships/hyperlink" Target="mailto:marthathallas-lamb@flinders.edu.au" TargetMode="External"/><Relationship Id="rId57" Type="http://schemas.openxmlformats.org/officeDocument/2006/relationships/hyperlink" Target="mailto:marthathallas-lamb@flinders.edu.au" TargetMode="External"/><Relationship Id="rId10" Type="http://schemas.openxmlformats.org/officeDocument/2006/relationships/hyperlink" Target="mailto:marthathallas-lamb@flinders.edu.au" TargetMode="External"/><Relationship Id="rId31" Type="http://schemas.openxmlformats.org/officeDocument/2006/relationships/hyperlink" Target="mailto:marthathallas-lamb@flinders.edu.au" TargetMode="External"/><Relationship Id="rId44" Type="http://schemas.openxmlformats.org/officeDocument/2006/relationships/hyperlink" Target="mailto:marthathallas-lamb@flinders.edu.au" TargetMode="External"/><Relationship Id="rId52" Type="http://schemas.openxmlformats.org/officeDocument/2006/relationships/hyperlink" Target="mailto:marthathallas-lamb@flinders.edu.au" TargetMode="Externa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A15"/>
  <sheetViews>
    <sheetView topLeftCell="A4" zoomScale="56" workbookViewId="0">
      <selection activeCell="A3" sqref="A3"/>
    </sheetView>
  </sheetViews>
  <sheetFormatPr defaultColWidth="8.875" defaultRowHeight="15.75" x14ac:dyDescent="0.25"/>
  <cols>
    <col min="1" max="1" width="126.625" customWidth="1"/>
    <col min="2" max="2" width="17" customWidth="1"/>
    <col min="3" max="256" width="11" customWidth="1"/>
  </cols>
  <sheetData>
    <row r="1" spans="1:1" ht="23.25" x14ac:dyDescent="0.35">
      <c r="A1" s="20" t="s">
        <v>1975</v>
      </c>
    </row>
    <row r="2" spans="1:1" ht="18.95" customHeight="1" x14ac:dyDescent="0.25">
      <c r="A2" s="2"/>
    </row>
    <row r="3" spans="1:1" ht="29.1" customHeight="1" x14ac:dyDescent="0.25">
      <c r="A3" s="19" t="s">
        <v>1968</v>
      </c>
    </row>
    <row r="4" spans="1:1" ht="29.1" customHeight="1" x14ac:dyDescent="0.25">
      <c r="A4" s="19" t="s">
        <v>1967</v>
      </c>
    </row>
    <row r="5" spans="1:1" ht="29.1" customHeight="1" x14ac:dyDescent="0.25">
      <c r="A5" s="19" t="s">
        <v>1976</v>
      </c>
    </row>
    <row r="6" spans="1:1" ht="29.1" customHeight="1" x14ac:dyDescent="0.25">
      <c r="A6" s="23" t="s">
        <v>1969</v>
      </c>
    </row>
    <row r="7" spans="1:1" ht="29.1" customHeight="1" x14ac:dyDescent="0.25">
      <c r="A7" s="23" t="s">
        <v>1970</v>
      </c>
    </row>
    <row r="8" spans="1:1" ht="29.1" customHeight="1" x14ac:dyDescent="0.25">
      <c r="A8" s="19" t="s">
        <v>2864</v>
      </c>
    </row>
    <row r="9" spans="1:1" ht="29.1" customHeight="1" x14ac:dyDescent="0.25">
      <c r="A9" s="19" t="s">
        <v>1971</v>
      </c>
    </row>
    <row r="10" spans="1:1" ht="29.1" customHeight="1" x14ac:dyDescent="0.25">
      <c r="A10" s="19" t="s">
        <v>1972</v>
      </c>
    </row>
    <row r="11" spans="1:1" ht="29.1" customHeight="1" x14ac:dyDescent="0.25">
      <c r="A11" s="19" t="s">
        <v>1973</v>
      </c>
    </row>
    <row r="12" spans="1:1" ht="29.1" customHeight="1" x14ac:dyDescent="0.25">
      <c r="A12" t="s">
        <v>1977</v>
      </c>
    </row>
    <row r="13" spans="1:1" ht="29.1" customHeight="1" x14ac:dyDescent="0.25">
      <c r="A13" s="19" t="s">
        <v>1974</v>
      </c>
    </row>
    <row r="14" spans="1:1" ht="29.1" customHeight="1" x14ac:dyDescent="0.25">
      <c r="A14" s="19" t="s">
        <v>1978</v>
      </c>
    </row>
    <row r="15" spans="1:1" ht="29.1" customHeight="1" x14ac:dyDescent="0.25"/>
  </sheetData>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P59"/>
  <sheetViews>
    <sheetView topLeftCell="BE1" zoomScale="69" workbookViewId="0">
      <selection activeCell="D56" sqref="D56"/>
    </sheetView>
  </sheetViews>
  <sheetFormatPr defaultColWidth="11" defaultRowHeight="15.75" x14ac:dyDescent="0.25"/>
  <cols>
    <col min="1" max="1" width="105" customWidth="1"/>
    <col min="2" max="2" width="51.375" customWidth="1"/>
    <col min="3" max="3" width="67.125" customWidth="1"/>
    <col min="4" max="4" width="22.875" customWidth="1"/>
    <col min="6" max="6" width="35.875" customWidth="1"/>
    <col min="7" max="7" width="18.875" customWidth="1"/>
    <col min="8" max="8" width="36.875" customWidth="1"/>
    <col min="9" max="9" width="23.375" customWidth="1"/>
    <col min="10" max="10" width="42.125" customWidth="1"/>
    <col min="11" max="11" width="25.375" customWidth="1"/>
    <col min="20" max="20" width="15" customWidth="1"/>
    <col min="21" max="21" width="24.125" customWidth="1"/>
    <col min="22" max="22" width="23.875" customWidth="1"/>
    <col min="23" max="23" width="54.5" customWidth="1"/>
    <col min="24" max="24" width="40.125" customWidth="1"/>
    <col min="25" max="25" width="53.875" customWidth="1"/>
    <col min="26" max="26" width="40.875" customWidth="1"/>
    <col min="27" max="27" width="34.125" customWidth="1"/>
    <col min="28" max="28" width="37.375" customWidth="1"/>
    <col min="29" max="29" width="15" customWidth="1"/>
    <col min="30" max="30" width="28" customWidth="1"/>
    <col min="31" max="31" width="43.375" customWidth="1"/>
    <col min="32" max="32" width="34.625" customWidth="1"/>
    <col min="33" max="33" width="28" customWidth="1"/>
    <col min="34" max="34" width="27.125" customWidth="1"/>
    <col min="35" max="35" width="19.125" customWidth="1"/>
    <col min="36" max="36" width="17" customWidth="1"/>
    <col min="37" max="37" width="28.375" customWidth="1"/>
    <col min="38" max="38" width="48.125" customWidth="1"/>
    <col min="39" max="39" width="24" customWidth="1"/>
    <col min="40" max="40" width="18.875" customWidth="1"/>
    <col min="41" max="49" width="18" customWidth="1"/>
    <col min="50" max="50" width="63.625" customWidth="1"/>
    <col min="51" max="51" width="49.5" customWidth="1"/>
    <col min="52" max="52" width="46.5" customWidth="1"/>
    <col min="53" max="53" width="56.875" customWidth="1"/>
    <col min="54" max="54" width="79.5" customWidth="1"/>
    <col min="55" max="55" width="66.375" customWidth="1"/>
    <col min="56" max="58" width="48.375" customWidth="1"/>
    <col min="59" max="64" width="44.625" customWidth="1"/>
    <col min="65" max="65" width="38" customWidth="1"/>
    <col min="66" max="66" width="50.625" customWidth="1"/>
    <col min="67" max="67" width="31" customWidth="1"/>
    <col min="68" max="68" width="32.375" customWidth="1"/>
    <col min="73" max="73" width="30.5" customWidth="1"/>
  </cols>
  <sheetData>
    <row r="1" spans="1:68" x14ac:dyDescent="0.25">
      <c r="A1" s="64" t="s">
        <v>0</v>
      </c>
      <c r="B1" s="24" t="s">
        <v>1</v>
      </c>
      <c r="C1" s="25" t="s">
        <v>2</v>
      </c>
      <c r="D1" t="s">
        <v>3</v>
      </c>
      <c r="E1" t="s">
        <v>4</v>
      </c>
      <c r="F1" s="24" t="s">
        <v>46</v>
      </c>
      <c r="G1" t="s">
        <v>5</v>
      </c>
      <c r="H1" s="27" t="s">
        <v>2137</v>
      </c>
      <c r="I1" s="26" t="s">
        <v>6</v>
      </c>
      <c r="J1" s="24" t="s">
        <v>7</v>
      </c>
      <c r="K1" s="25" t="s">
        <v>8</v>
      </c>
      <c r="L1" s="27" t="s">
        <v>9</v>
      </c>
      <c r="M1" s="27" t="s">
        <v>1834</v>
      </c>
      <c r="N1" s="27" t="s">
        <v>1835</v>
      </c>
      <c r="O1" s="27" t="s">
        <v>10</v>
      </c>
      <c r="P1" s="27" t="s">
        <v>11</v>
      </c>
      <c r="Q1" s="27" t="s">
        <v>12</v>
      </c>
      <c r="R1" s="27" t="s">
        <v>13</v>
      </c>
      <c r="S1" t="s">
        <v>2159</v>
      </c>
      <c r="T1" t="s">
        <v>14</v>
      </c>
      <c r="U1" s="28" t="s">
        <v>15</v>
      </c>
      <c r="V1" s="28" t="s">
        <v>2160</v>
      </c>
      <c r="W1" s="17" t="s">
        <v>2225</v>
      </c>
      <c r="X1" s="27" t="s">
        <v>44</v>
      </c>
      <c r="Y1" s="17" t="s">
        <v>2238</v>
      </c>
      <c r="Z1" s="25" t="s">
        <v>45</v>
      </c>
      <c r="AA1" s="25" t="s">
        <v>43</v>
      </c>
      <c r="AB1" s="25" t="s">
        <v>16</v>
      </c>
      <c r="AC1" t="s">
        <v>17</v>
      </c>
      <c r="AD1" s="44" t="s">
        <v>2163</v>
      </c>
      <c r="AE1" s="24" t="s">
        <v>18</v>
      </c>
      <c r="AF1" s="27" t="s">
        <v>19</v>
      </c>
      <c r="AG1" s="25" t="s">
        <v>20</v>
      </c>
      <c r="AH1" s="24" t="s">
        <v>21</v>
      </c>
      <c r="AI1" s="27" t="s">
        <v>22</v>
      </c>
      <c r="AJ1" s="27" t="s">
        <v>23</v>
      </c>
      <c r="AK1" s="26" t="s">
        <v>24</v>
      </c>
      <c r="AL1" s="25" t="s">
        <v>25</v>
      </c>
      <c r="AM1" s="25" t="s">
        <v>26</v>
      </c>
      <c r="AN1" s="25" t="s">
        <v>27</v>
      </c>
      <c r="AO1" s="43" t="s">
        <v>28</v>
      </c>
      <c r="AP1" s="43" t="s">
        <v>29</v>
      </c>
      <c r="AQ1" s="43" t="s">
        <v>30</v>
      </c>
      <c r="AR1" s="43" t="s">
        <v>31</v>
      </c>
      <c r="AS1" s="61" t="s">
        <v>32</v>
      </c>
      <c r="AT1" s="62" t="s">
        <v>2246</v>
      </c>
      <c r="AU1" s="62" t="s">
        <v>2247</v>
      </c>
      <c r="AV1" s="62" t="s">
        <v>2248</v>
      </c>
      <c r="AW1" s="62" t="s">
        <v>2249</v>
      </c>
      <c r="AX1" s="27" t="s">
        <v>33</v>
      </c>
      <c r="AY1" s="24" t="s">
        <v>34</v>
      </c>
      <c r="AZ1" s="25" t="s">
        <v>35</v>
      </c>
      <c r="BA1" s="26" t="s">
        <v>36</v>
      </c>
      <c r="BB1" s="24" t="s">
        <v>37</v>
      </c>
      <c r="BC1" s="27" t="s">
        <v>38</v>
      </c>
      <c r="BD1" s="25" t="s">
        <v>39</v>
      </c>
      <c r="BE1" s="25" t="s">
        <v>2181</v>
      </c>
      <c r="BF1" s="25" t="s">
        <v>2154</v>
      </c>
      <c r="BG1" s="26" t="s">
        <v>40</v>
      </c>
      <c r="BH1" s="26" t="s">
        <v>2228</v>
      </c>
      <c r="BI1" s="26" t="s">
        <v>2229</v>
      </c>
      <c r="BJ1" s="26" t="s">
        <v>2231</v>
      </c>
      <c r="BK1" s="27" t="s">
        <v>2230</v>
      </c>
      <c r="BL1" s="24" t="s">
        <v>42</v>
      </c>
      <c r="BM1" s="43" t="s">
        <v>41</v>
      </c>
      <c r="BN1" s="25" t="s">
        <v>2211</v>
      </c>
      <c r="BO1" s="25" t="s">
        <v>2212</v>
      </c>
      <c r="BP1" s="27" t="s">
        <v>2213</v>
      </c>
    </row>
    <row r="2" spans="1:68" x14ac:dyDescent="0.25">
      <c r="Y2" s="51" t="s">
        <v>2239</v>
      </c>
      <c r="Z2" s="32" t="s">
        <v>1984</v>
      </c>
      <c r="AA2" s="55" t="s">
        <v>1984</v>
      </c>
    </row>
    <row r="3" spans="1:68" x14ac:dyDescent="0.25">
      <c r="A3" s="36" t="s">
        <v>2863</v>
      </c>
      <c r="C3" s="29" t="s">
        <v>1979</v>
      </c>
      <c r="F3" s="30" t="s">
        <v>2155</v>
      </c>
      <c r="I3" s="26" t="s">
        <v>6</v>
      </c>
      <c r="J3" s="24" t="s">
        <v>7</v>
      </c>
      <c r="K3" s="25" t="s">
        <v>8</v>
      </c>
      <c r="L3" s="27" t="s">
        <v>2158</v>
      </c>
      <c r="M3" s="27"/>
      <c r="N3" s="27"/>
      <c r="O3" s="27"/>
      <c r="P3" s="27"/>
      <c r="Q3" s="27"/>
      <c r="R3" s="27"/>
      <c r="U3" s="35" t="s">
        <v>2161</v>
      </c>
      <c r="V3" s="35" t="s">
        <v>2162</v>
      </c>
      <c r="W3" s="31" t="s">
        <v>2035</v>
      </c>
      <c r="Y3" s="31" t="s">
        <v>2240</v>
      </c>
      <c r="Z3" s="29" t="s">
        <v>1992</v>
      </c>
      <c r="AA3" s="36" t="s">
        <v>1992</v>
      </c>
      <c r="AB3" s="25" t="s">
        <v>16</v>
      </c>
      <c r="AD3" s="30" t="s">
        <v>2862</v>
      </c>
      <c r="AE3" s="30" t="s">
        <v>2151</v>
      </c>
      <c r="AF3" s="33" t="s">
        <v>1987</v>
      </c>
      <c r="AG3" s="29" t="s">
        <v>1980</v>
      </c>
      <c r="AH3" s="24" t="s">
        <v>21</v>
      </c>
      <c r="AI3" s="27" t="s">
        <v>22</v>
      </c>
      <c r="AJ3" s="27" t="s">
        <v>23</v>
      </c>
      <c r="AK3" s="26" t="s">
        <v>24</v>
      </c>
      <c r="AL3" s="29" t="s">
        <v>1981</v>
      </c>
      <c r="AM3" s="29" t="s">
        <v>2217</v>
      </c>
      <c r="AN3" s="29" t="s">
        <v>2218</v>
      </c>
      <c r="AO3" s="39" t="s">
        <v>2172</v>
      </c>
      <c r="AP3" s="39"/>
      <c r="AQ3" s="39"/>
      <c r="AR3" s="39"/>
      <c r="AS3" s="39"/>
      <c r="AT3" s="39"/>
      <c r="AU3" s="39"/>
      <c r="AV3" s="39"/>
      <c r="AW3" s="39"/>
      <c r="AX3" s="27" t="s">
        <v>1988</v>
      </c>
      <c r="AY3" s="30" t="s">
        <v>1982</v>
      </c>
      <c r="AZ3" s="25" t="s">
        <v>35</v>
      </c>
      <c r="BA3" s="26" t="s">
        <v>36</v>
      </c>
      <c r="BB3" s="24" t="s">
        <v>1989</v>
      </c>
      <c r="BC3" s="27" t="s">
        <v>38</v>
      </c>
      <c r="BD3" s="25" t="s">
        <v>39</v>
      </c>
      <c r="BE3" s="25" t="s">
        <v>2182</v>
      </c>
      <c r="BF3" s="25"/>
      <c r="BG3" s="26" t="s">
        <v>40</v>
      </c>
      <c r="BH3" s="26" t="s">
        <v>2228</v>
      </c>
      <c r="BK3" s="27" t="s">
        <v>2203</v>
      </c>
      <c r="BL3" s="24" t="s">
        <v>1990</v>
      </c>
      <c r="BM3" s="39" t="s">
        <v>2202</v>
      </c>
      <c r="BN3" s="29" t="s">
        <v>2220</v>
      </c>
    </row>
    <row r="4" spans="1:68" x14ac:dyDescent="0.25">
      <c r="B4" s="24" t="s">
        <v>1</v>
      </c>
      <c r="C4" s="29" t="s">
        <v>1985</v>
      </c>
      <c r="F4" s="30" t="s">
        <v>2156</v>
      </c>
      <c r="I4" s="34" t="s">
        <v>47</v>
      </c>
      <c r="J4" s="30" t="s">
        <v>1993</v>
      </c>
      <c r="K4" s="29" t="s">
        <v>1994</v>
      </c>
      <c r="L4" s="27" t="s">
        <v>148</v>
      </c>
      <c r="M4" s="27"/>
      <c r="N4" s="27"/>
      <c r="O4" s="27"/>
      <c r="P4" s="27"/>
      <c r="Q4" s="27"/>
      <c r="R4" s="27"/>
      <c r="W4" s="31"/>
      <c r="Y4" s="31" t="s">
        <v>2241</v>
      </c>
      <c r="Z4" s="36" t="s">
        <v>2001</v>
      </c>
      <c r="AA4" s="36" t="s">
        <v>2001</v>
      </c>
      <c r="AB4" s="36" t="s">
        <v>145</v>
      </c>
      <c r="AF4" s="27" t="s">
        <v>2165</v>
      </c>
      <c r="AH4" s="30" t="s">
        <v>1996</v>
      </c>
      <c r="AI4" s="31" t="s">
        <v>2166</v>
      </c>
      <c r="AJ4" s="31" t="s">
        <v>2167</v>
      </c>
      <c r="AK4" s="34" t="s">
        <v>1997</v>
      </c>
      <c r="AL4" s="36" t="s">
        <v>2221</v>
      </c>
      <c r="AX4" s="31" t="s">
        <v>2170</v>
      </c>
      <c r="AZ4" s="36" t="s">
        <v>1998</v>
      </c>
      <c r="BA4" s="34" t="s">
        <v>1999</v>
      </c>
      <c r="BB4" s="30" t="s">
        <v>2011</v>
      </c>
      <c r="BC4" s="31" t="s">
        <v>139</v>
      </c>
      <c r="BD4" s="25" t="s">
        <v>2177</v>
      </c>
      <c r="BE4" s="25" t="s">
        <v>2183</v>
      </c>
      <c r="BF4" s="25" t="s">
        <v>2183</v>
      </c>
      <c r="BG4" s="34" t="s">
        <v>2000</v>
      </c>
      <c r="BH4" s="34" t="s">
        <v>2000</v>
      </c>
      <c r="BK4" s="31" t="s">
        <v>2204</v>
      </c>
      <c r="BL4" s="30" t="s">
        <v>1994</v>
      </c>
      <c r="BO4" s="29" t="s">
        <v>2219</v>
      </c>
      <c r="BP4" s="27" t="s">
        <v>2213</v>
      </c>
    </row>
    <row r="5" spans="1:68" x14ac:dyDescent="0.25">
      <c r="B5" s="38" t="s">
        <v>2002</v>
      </c>
      <c r="I5" s="34" t="s">
        <v>48</v>
      </c>
      <c r="J5" s="30" t="s">
        <v>2003</v>
      </c>
      <c r="K5" s="29" t="s">
        <v>2004</v>
      </c>
      <c r="L5" s="27" t="s">
        <v>2157</v>
      </c>
      <c r="M5" s="27"/>
      <c r="N5" s="27"/>
      <c r="O5" s="27"/>
      <c r="P5" s="27"/>
      <c r="Q5" s="27"/>
      <c r="R5" s="27"/>
      <c r="AB5" s="36" t="s">
        <v>2006</v>
      </c>
      <c r="AF5" s="37" t="s">
        <v>71</v>
      </c>
      <c r="AH5" s="30" t="s">
        <v>2007</v>
      </c>
      <c r="AI5" s="31" t="s">
        <v>2168</v>
      </c>
      <c r="AJ5" s="31" t="s">
        <v>2168</v>
      </c>
      <c r="AK5" s="34" t="s">
        <v>2008</v>
      </c>
      <c r="AZ5" s="36" t="s">
        <v>2009</v>
      </c>
      <c r="BA5" s="34" t="s">
        <v>2010</v>
      </c>
      <c r="BB5" s="30" t="s">
        <v>2015</v>
      </c>
      <c r="BC5" s="31" t="s">
        <v>140</v>
      </c>
      <c r="BD5" s="29" t="s">
        <v>78</v>
      </c>
      <c r="BE5" s="29" t="s">
        <v>2194</v>
      </c>
      <c r="BF5" s="29" t="s">
        <v>2199</v>
      </c>
      <c r="BG5" s="34" t="s">
        <v>2012</v>
      </c>
      <c r="BH5" s="34" t="s">
        <v>2012</v>
      </c>
      <c r="BK5" s="31" t="s">
        <v>2205</v>
      </c>
      <c r="BL5" s="30" t="s">
        <v>2004</v>
      </c>
      <c r="BP5" s="31" t="s">
        <v>2004</v>
      </c>
    </row>
    <row r="6" spans="1:68" x14ac:dyDescent="0.25">
      <c r="B6" s="30" t="s">
        <v>2013</v>
      </c>
      <c r="H6" s="27" t="s">
        <v>2138</v>
      </c>
      <c r="I6" s="34" t="s">
        <v>49</v>
      </c>
      <c r="AB6" s="36" t="s">
        <v>2236</v>
      </c>
      <c r="AF6" s="37" t="s">
        <v>72</v>
      </c>
      <c r="AU6" s="63"/>
      <c r="BC6" s="31" t="s">
        <v>15</v>
      </c>
      <c r="BD6" s="29" t="s">
        <v>2237</v>
      </c>
      <c r="BE6" s="29" t="s">
        <v>2195</v>
      </c>
      <c r="BF6" s="29" t="s">
        <v>2200</v>
      </c>
      <c r="BK6" s="31" t="s">
        <v>2222</v>
      </c>
      <c r="BP6" s="31" t="s">
        <v>1994</v>
      </c>
    </row>
    <row r="7" spans="1:68" x14ac:dyDescent="0.25">
      <c r="B7" s="30" t="s">
        <v>2016</v>
      </c>
      <c r="I7" s="34" t="s">
        <v>50</v>
      </c>
      <c r="K7" s="36" t="s">
        <v>2017</v>
      </c>
      <c r="U7" s="28" t="s">
        <v>1986</v>
      </c>
      <c r="V7" s="28" t="s">
        <v>2160</v>
      </c>
      <c r="X7" s="27" t="s">
        <v>44</v>
      </c>
      <c r="AB7" s="36" t="s">
        <v>146</v>
      </c>
      <c r="AF7" s="37" t="s">
        <v>73</v>
      </c>
      <c r="AH7" s="30" t="s">
        <v>2019</v>
      </c>
      <c r="AK7" s="39" t="s">
        <v>2020</v>
      </c>
      <c r="BC7" s="31" t="s">
        <v>141</v>
      </c>
      <c r="BD7" s="29" t="s">
        <v>2174</v>
      </c>
      <c r="BE7" s="29" t="s">
        <v>2196</v>
      </c>
      <c r="BF7" s="29" t="s">
        <v>2201</v>
      </c>
      <c r="BL7" s="30" t="s">
        <v>2208</v>
      </c>
    </row>
    <row r="8" spans="1:68" x14ac:dyDescent="0.25">
      <c r="B8" s="30" t="s">
        <v>2022</v>
      </c>
      <c r="H8" s="27" t="s">
        <v>2139</v>
      </c>
      <c r="I8" s="34" t="s">
        <v>51</v>
      </c>
      <c r="U8" s="35" t="s">
        <v>1995</v>
      </c>
      <c r="V8" s="35" t="s">
        <v>1995</v>
      </c>
      <c r="X8" s="57" t="s">
        <v>1983</v>
      </c>
      <c r="AB8" s="36" t="s">
        <v>2018</v>
      </c>
      <c r="AF8" s="37" t="s">
        <v>74</v>
      </c>
      <c r="AH8" s="30" t="s">
        <v>2023</v>
      </c>
      <c r="AK8" s="39" t="s">
        <v>2169</v>
      </c>
      <c r="BC8" s="31" t="s">
        <v>142</v>
      </c>
      <c r="BD8" s="29" t="s">
        <v>80</v>
      </c>
      <c r="BE8" s="29" t="s">
        <v>67</v>
      </c>
      <c r="BF8" s="29" t="s">
        <v>2196</v>
      </c>
      <c r="BL8" s="30" t="s">
        <v>2209</v>
      </c>
    </row>
    <row r="9" spans="1:68" x14ac:dyDescent="0.25">
      <c r="H9" s="31" t="s">
        <v>2140</v>
      </c>
      <c r="I9" s="34" t="s">
        <v>52</v>
      </c>
      <c r="U9" s="35" t="s">
        <v>2005</v>
      </c>
      <c r="V9" s="35" t="s">
        <v>2005</v>
      </c>
      <c r="X9" s="57" t="s">
        <v>1991</v>
      </c>
      <c r="Y9" s="17" t="s">
        <v>2056</v>
      </c>
      <c r="Z9" s="25" t="s">
        <v>2056</v>
      </c>
      <c r="AA9" s="25" t="s">
        <v>2056</v>
      </c>
      <c r="AB9" s="36" t="s">
        <v>147</v>
      </c>
      <c r="AF9" s="37" t="s">
        <v>75</v>
      </c>
      <c r="BC9" s="31" t="s">
        <v>143</v>
      </c>
      <c r="BD9" s="29" t="s">
        <v>105</v>
      </c>
      <c r="BF9" s="29" t="s">
        <v>67</v>
      </c>
      <c r="BH9" s="43" t="s">
        <v>2021</v>
      </c>
      <c r="BI9" s="43" t="s">
        <v>2021</v>
      </c>
      <c r="BJ9" s="43" t="s">
        <v>2021</v>
      </c>
      <c r="BL9" s="30" t="s">
        <v>2210</v>
      </c>
    </row>
    <row r="10" spans="1:68" x14ac:dyDescent="0.25">
      <c r="B10" s="24" t="s">
        <v>2021</v>
      </c>
      <c r="H10" s="31" t="s">
        <v>2141</v>
      </c>
      <c r="I10" s="34" t="s">
        <v>53</v>
      </c>
      <c r="U10" s="35" t="s">
        <v>2014</v>
      </c>
      <c r="V10" s="35" t="s">
        <v>2014</v>
      </c>
      <c r="Y10" s="58" t="s">
        <v>2242</v>
      </c>
      <c r="Z10" s="32" t="s">
        <v>2029</v>
      </c>
      <c r="AA10" s="56" t="s">
        <v>2028</v>
      </c>
      <c r="AB10" s="36" t="s">
        <v>2025</v>
      </c>
      <c r="AF10" s="37" t="s">
        <v>76</v>
      </c>
      <c r="BC10" s="31" t="s">
        <v>144</v>
      </c>
      <c r="BD10" s="29" t="s">
        <v>106</v>
      </c>
      <c r="BF10" s="29" t="s">
        <v>2001</v>
      </c>
      <c r="BH10" s="34" t="s">
        <v>2233</v>
      </c>
      <c r="BI10" s="34" t="s">
        <v>2232</v>
      </c>
      <c r="BJ10" s="34" t="s">
        <v>2234</v>
      </c>
      <c r="BP10" s="27" t="s">
        <v>2056</v>
      </c>
    </row>
    <row r="11" spans="1:68" x14ac:dyDescent="0.25">
      <c r="B11" s="38" t="s">
        <v>2030</v>
      </c>
      <c r="H11" s="31" t="s">
        <v>2142</v>
      </c>
      <c r="I11" s="34" t="s">
        <v>54</v>
      </c>
      <c r="U11" s="17" t="s">
        <v>67</v>
      </c>
      <c r="V11" s="17" t="s">
        <v>67</v>
      </c>
      <c r="Y11" s="59" t="s">
        <v>2243</v>
      </c>
      <c r="Z11" s="29" t="s">
        <v>2036</v>
      </c>
      <c r="AA11" s="36" t="s">
        <v>2034</v>
      </c>
      <c r="AB11" s="36" t="s">
        <v>2027</v>
      </c>
      <c r="AF11" s="40" t="s">
        <v>67</v>
      </c>
      <c r="BD11" s="29" t="s">
        <v>2176</v>
      </c>
      <c r="BP11" s="31" t="s">
        <v>2214</v>
      </c>
    </row>
    <row r="12" spans="1:68" x14ac:dyDescent="0.25">
      <c r="B12" s="30" t="s">
        <v>2037</v>
      </c>
      <c r="H12" s="31" t="s">
        <v>2143</v>
      </c>
      <c r="I12" s="34" t="s">
        <v>55</v>
      </c>
      <c r="Y12" s="58" t="s">
        <v>2244</v>
      </c>
      <c r="Z12" s="36" t="s">
        <v>2041</v>
      </c>
      <c r="AA12" s="36" t="s">
        <v>2164</v>
      </c>
      <c r="AB12" s="36" t="s">
        <v>2031</v>
      </c>
      <c r="AF12" s="37" t="s">
        <v>2032</v>
      </c>
      <c r="BD12" s="29" t="s">
        <v>111</v>
      </c>
      <c r="BP12" s="31" t="s">
        <v>2215</v>
      </c>
    </row>
    <row r="13" spans="1:68" x14ac:dyDescent="0.25">
      <c r="B13" s="30" t="s">
        <v>2042</v>
      </c>
      <c r="H13" s="31" t="s">
        <v>2144</v>
      </c>
      <c r="I13" s="34" t="s">
        <v>56</v>
      </c>
      <c r="AB13" s="36" t="s">
        <v>2038</v>
      </c>
      <c r="AF13" s="37" t="s">
        <v>2039</v>
      </c>
      <c r="AI13" s="27" t="s">
        <v>2152</v>
      </c>
      <c r="AJ13" s="27"/>
      <c r="AZ13" s="25" t="s">
        <v>2021</v>
      </c>
      <c r="BA13" s="26" t="s">
        <v>2021</v>
      </c>
      <c r="BB13" s="24" t="s">
        <v>2021</v>
      </c>
      <c r="BC13" s="27" t="s">
        <v>2044</v>
      </c>
      <c r="BD13" s="29" t="s">
        <v>2175</v>
      </c>
      <c r="BE13" s="25" t="s">
        <v>2197</v>
      </c>
      <c r="BF13" s="25" t="s">
        <v>2198</v>
      </c>
      <c r="BG13" s="43" t="s">
        <v>2021</v>
      </c>
      <c r="BK13" s="27" t="s">
        <v>2021</v>
      </c>
      <c r="BP13" s="31" t="s">
        <v>2216</v>
      </c>
    </row>
    <row r="14" spans="1:68" x14ac:dyDescent="0.25">
      <c r="B14" s="30" t="s">
        <v>2045</v>
      </c>
      <c r="H14" s="31" t="s">
        <v>2145</v>
      </c>
      <c r="I14" s="34" t="s">
        <v>57</v>
      </c>
      <c r="AB14" s="36" t="s">
        <v>148</v>
      </c>
      <c r="AF14" s="37" t="s">
        <v>2043</v>
      </c>
      <c r="AI14" s="27" t="s">
        <v>2153</v>
      </c>
      <c r="AJ14" s="27"/>
      <c r="AZ14" s="36" t="s">
        <v>2024</v>
      </c>
      <c r="BA14" s="39" t="s">
        <v>2033</v>
      </c>
      <c r="BB14" s="30" t="s">
        <v>2171</v>
      </c>
      <c r="BC14" s="31" t="s">
        <v>2048</v>
      </c>
      <c r="BD14" s="29" t="s">
        <v>115</v>
      </c>
      <c r="BE14" s="29" t="s">
        <v>2184</v>
      </c>
      <c r="BF14" s="29" t="s">
        <v>2190</v>
      </c>
      <c r="BG14" s="43" t="s">
        <v>2178</v>
      </c>
      <c r="BK14" s="31" t="s">
        <v>2206</v>
      </c>
    </row>
    <row r="15" spans="1:68" x14ac:dyDescent="0.25">
      <c r="H15" s="31" t="s">
        <v>2146</v>
      </c>
      <c r="I15" s="34" t="s">
        <v>58</v>
      </c>
      <c r="AB15" s="36" t="s">
        <v>2046</v>
      </c>
      <c r="AF15" s="37" t="s">
        <v>2047</v>
      </c>
      <c r="AZ15" s="36" t="s">
        <v>2026</v>
      </c>
      <c r="BA15" s="39" t="s">
        <v>2040</v>
      </c>
      <c r="BB15" s="30" t="s">
        <v>2173</v>
      </c>
      <c r="BC15" s="31" t="s">
        <v>2050</v>
      </c>
      <c r="BD15" s="29" t="s">
        <v>116</v>
      </c>
      <c r="BE15" s="29" t="s">
        <v>2185</v>
      </c>
      <c r="BF15" s="29" t="s">
        <v>2191</v>
      </c>
      <c r="BG15" s="39" t="s">
        <v>2179</v>
      </c>
      <c r="BK15" s="31" t="s">
        <v>2207</v>
      </c>
    </row>
    <row r="16" spans="1:68" x14ac:dyDescent="0.25">
      <c r="H16" s="31" t="s">
        <v>2147</v>
      </c>
      <c r="I16" s="34" t="s">
        <v>59</v>
      </c>
      <c r="AB16" s="36" t="s">
        <v>2049</v>
      </c>
      <c r="AF16" s="37" t="s">
        <v>2070</v>
      </c>
      <c r="BC16" s="31" t="s">
        <v>2051</v>
      </c>
      <c r="BD16" s="29" t="s">
        <v>118</v>
      </c>
      <c r="BE16" s="29" t="s">
        <v>2186</v>
      </c>
      <c r="BF16" s="29" t="s">
        <v>2192</v>
      </c>
      <c r="BG16" s="39" t="s">
        <v>2180</v>
      </c>
    </row>
    <row r="17" spans="3:58" x14ac:dyDescent="0.25">
      <c r="H17" s="31" t="s">
        <v>2148</v>
      </c>
      <c r="I17" s="34" t="s">
        <v>60</v>
      </c>
      <c r="W17" s="27" t="s">
        <v>2055</v>
      </c>
      <c r="X17" s="27" t="s">
        <v>2054</v>
      </c>
      <c r="Y17" s="27" t="s">
        <v>2056</v>
      </c>
      <c r="AB17" s="36" t="s">
        <v>149</v>
      </c>
      <c r="AF17" s="37" t="s">
        <v>2077</v>
      </c>
      <c r="BC17" s="31" t="s">
        <v>2053</v>
      </c>
      <c r="BD17" s="29" t="s">
        <v>119</v>
      </c>
      <c r="BE17" s="29" t="s">
        <v>2187</v>
      </c>
      <c r="BF17" s="29" t="s">
        <v>2189</v>
      </c>
    </row>
    <row r="18" spans="3:58" x14ac:dyDescent="0.25">
      <c r="E18" s="10"/>
      <c r="H18" s="31" t="s">
        <v>2149</v>
      </c>
      <c r="I18" s="34" t="s">
        <v>61</v>
      </c>
      <c r="W18" s="57" t="s">
        <v>2059</v>
      </c>
      <c r="X18" s="60">
        <v>1</v>
      </c>
      <c r="Y18" s="57" t="s">
        <v>2060</v>
      </c>
      <c r="AB18" s="36" t="s">
        <v>2052</v>
      </c>
      <c r="AF18" s="37" t="s">
        <v>2082</v>
      </c>
      <c r="BC18" s="31" t="s">
        <v>2058</v>
      </c>
      <c r="BD18" s="29" t="s">
        <v>120</v>
      </c>
      <c r="BF18" s="29" t="s">
        <v>2193</v>
      </c>
    </row>
    <row r="19" spans="3:58" x14ac:dyDescent="0.25">
      <c r="E19" s="42"/>
      <c r="H19" s="31" t="s">
        <v>2150</v>
      </c>
      <c r="I19" s="34" t="s">
        <v>62</v>
      </c>
      <c r="W19" s="57" t="s">
        <v>2063</v>
      </c>
      <c r="X19" s="60">
        <v>2</v>
      </c>
      <c r="Y19" s="57" t="s">
        <v>2064</v>
      </c>
      <c r="AB19" s="36" t="s">
        <v>2057</v>
      </c>
      <c r="AF19" s="37" t="s">
        <v>2096</v>
      </c>
      <c r="BC19" s="31" t="s">
        <v>2062</v>
      </c>
      <c r="BD19" s="29" t="s">
        <v>121</v>
      </c>
      <c r="BF19" s="29" t="s">
        <v>2188</v>
      </c>
    </row>
    <row r="20" spans="3:58" x14ac:dyDescent="0.25">
      <c r="E20" s="10"/>
      <c r="I20" s="34" t="s">
        <v>63</v>
      </c>
      <c r="W20" s="57" t="s">
        <v>2066</v>
      </c>
      <c r="X20" s="60">
        <v>3</v>
      </c>
      <c r="Y20" s="57" t="s">
        <v>2067</v>
      </c>
      <c r="AB20" s="36" t="s">
        <v>2061</v>
      </c>
      <c r="AF20" s="37" t="s">
        <v>2097</v>
      </c>
      <c r="BC20" s="31" t="s">
        <v>2065</v>
      </c>
      <c r="BD20" s="29" t="s">
        <v>122</v>
      </c>
    </row>
    <row r="21" spans="3:58" x14ac:dyDescent="0.25">
      <c r="E21" s="10"/>
      <c r="I21" s="34" t="s">
        <v>64</v>
      </c>
      <c r="W21" s="57" t="s">
        <v>2068</v>
      </c>
      <c r="X21" s="60">
        <v>4</v>
      </c>
      <c r="Y21" s="57" t="s">
        <v>2069</v>
      </c>
      <c r="AB21" s="36" t="s">
        <v>150</v>
      </c>
      <c r="AF21" s="37" t="s">
        <v>2098</v>
      </c>
      <c r="BD21" s="29" t="s">
        <v>123</v>
      </c>
    </row>
    <row r="22" spans="3:58" x14ac:dyDescent="0.25">
      <c r="E22" s="10"/>
      <c r="I22" s="34" t="s">
        <v>65</v>
      </c>
      <c r="W22" s="57" t="s">
        <v>2072</v>
      </c>
      <c r="X22" s="60" t="s">
        <v>2071</v>
      </c>
      <c r="Y22" s="57"/>
      <c r="AF22" s="37" t="s">
        <v>2099</v>
      </c>
      <c r="BD22" s="29" t="s">
        <v>124</v>
      </c>
    </row>
    <row r="23" spans="3:58" x14ac:dyDescent="0.25">
      <c r="E23" s="10"/>
      <c r="I23" s="17" t="s">
        <v>66</v>
      </c>
      <c r="W23" s="57" t="s">
        <v>2074</v>
      </c>
      <c r="X23" s="60" t="s">
        <v>2073</v>
      </c>
      <c r="Y23" s="57"/>
      <c r="AF23" s="37" t="s">
        <v>2100</v>
      </c>
      <c r="BD23" s="29" t="s">
        <v>126</v>
      </c>
    </row>
    <row r="24" spans="3:58" x14ac:dyDescent="0.25">
      <c r="E24" s="10"/>
      <c r="I24" s="17" t="s">
        <v>67</v>
      </c>
      <c r="W24" s="57" t="s">
        <v>2075</v>
      </c>
      <c r="X24" s="60">
        <v>5</v>
      </c>
      <c r="Y24" s="57" t="s">
        <v>2076</v>
      </c>
      <c r="AF24" s="37" t="s">
        <v>2101</v>
      </c>
      <c r="BD24" s="29" t="s">
        <v>127</v>
      </c>
    </row>
    <row r="25" spans="3:58" x14ac:dyDescent="0.25">
      <c r="C25" t="s">
        <v>2927</v>
      </c>
      <c r="E25" s="10"/>
      <c r="I25" s="34" t="s">
        <v>68</v>
      </c>
      <c r="W25" s="57" t="s">
        <v>2078</v>
      </c>
      <c r="X25" s="60">
        <v>6</v>
      </c>
      <c r="Y25" s="57" t="s">
        <v>2079</v>
      </c>
      <c r="AF25" s="37" t="s">
        <v>2102</v>
      </c>
      <c r="BD25" s="29" t="s">
        <v>129</v>
      </c>
    </row>
    <row r="26" spans="3:58" x14ac:dyDescent="0.25">
      <c r="E26" s="10"/>
      <c r="I26" s="34" t="s">
        <v>69</v>
      </c>
      <c r="W26" s="57" t="s">
        <v>2080</v>
      </c>
      <c r="X26" s="60">
        <v>7</v>
      </c>
      <c r="Y26" s="57" t="s">
        <v>2081</v>
      </c>
      <c r="AF26" s="37" t="s">
        <v>2103</v>
      </c>
      <c r="BD26" s="29" t="s">
        <v>131</v>
      </c>
    </row>
    <row r="27" spans="3:58" x14ac:dyDescent="0.25">
      <c r="E27" s="10"/>
      <c r="W27" s="57" t="s">
        <v>2083</v>
      </c>
      <c r="X27" s="60">
        <v>8</v>
      </c>
      <c r="Y27" s="57" t="s">
        <v>2084</v>
      </c>
      <c r="AF27" s="37" t="s">
        <v>2104</v>
      </c>
      <c r="BD27" s="29" t="s">
        <v>132</v>
      </c>
    </row>
    <row r="28" spans="3:58" x14ac:dyDescent="0.25">
      <c r="E28" s="10"/>
      <c r="W28" s="57" t="s">
        <v>2085</v>
      </c>
      <c r="X28" s="60">
        <v>9</v>
      </c>
      <c r="Y28" s="57" t="s">
        <v>2086</v>
      </c>
      <c r="AF28" s="37" t="s">
        <v>2105</v>
      </c>
      <c r="BD28" s="29" t="s">
        <v>133</v>
      </c>
    </row>
    <row r="29" spans="3:58" x14ac:dyDescent="0.25">
      <c r="E29" s="10"/>
      <c r="W29" s="57" t="s">
        <v>2087</v>
      </c>
      <c r="X29" s="60">
        <v>10</v>
      </c>
      <c r="Y29" s="57" t="s">
        <v>2088</v>
      </c>
      <c r="AF29" s="37" t="s">
        <v>2106</v>
      </c>
      <c r="BD29" s="29" t="s">
        <v>136</v>
      </c>
    </row>
    <row r="30" spans="3:58" x14ac:dyDescent="0.25">
      <c r="W30" s="57" t="s">
        <v>2005</v>
      </c>
      <c r="X30" s="60">
        <v>11</v>
      </c>
      <c r="Y30" s="57" t="s">
        <v>2089</v>
      </c>
      <c r="AF30" s="37" t="s">
        <v>2107</v>
      </c>
      <c r="BD30" s="29" t="s">
        <v>137</v>
      </c>
    </row>
    <row r="31" spans="3:58" x14ac:dyDescent="0.25">
      <c r="W31" s="57" t="s">
        <v>2090</v>
      </c>
      <c r="X31" s="60">
        <v>12</v>
      </c>
      <c r="Y31" s="57" t="s">
        <v>2091</v>
      </c>
      <c r="AF31" s="37" t="s">
        <v>2108</v>
      </c>
      <c r="BD31" s="29" t="s">
        <v>138</v>
      </c>
    </row>
    <row r="32" spans="3:58" x14ac:dyDescent="0.25">
      <c r="W32" s="57" t="s">
        <v>2093</v>
      </c>
      <c r="X32" s="60" t="s">
        <v>2092</v>
      </c>
      <c r="Y32" s="57"/>
      <c r="AF32" s="37" t="s">
        <v>2109</v>
      </c>
      <c r="BD32" s="17" t="s">
        <v>67</v>
      </c>
    </row>
    <row r="33" spans="23:32" x14ac:dyDescent="0.25">
      <c r="W33" s="57" t="s">
        <v>2095</v>
      </c>
      <c r="X33" s="60" t="s">
        <v>2094</v>
      </c>
      <c r="Y33" s="57"/>
      <c r="AF33" s="37" t="s">
        <v>2110</v>
      </c>
    </row>
    <row r="34" spans="23:32" x14ac:dyDescent="0.25">
      <c r="AF34" s="37" t="s">
        <v>2111</v>
      </c>
    </row>
    <row r="35" spans="23:32" x14ac:dyDescent="0.25">
      <c r="Y35" s="52"/>
      <c r="AF35" s="37" t="s">
        <v>2112</v>
      </c>
    </row>
    <row r="36" spans="23:32" x14ac:dyDescent="0.25">
      <c r="Y36" s="52"/>
      <c r="AF36" s="37" t="s">
        <v>2113</v>
      </c>
    </row>
    <row r="37" spans="23:32" x14ac:dyDescent="0.25">
      <c r="Y37" s="52"/>
      <c r="AF37" s="37" t="s">
        <v>2114</v>
      </c>
    </row>
    <row r="38" spans="23:32" x14ac:dyDescent="0.25">
      <c r="AF38" s="37" t="s">
        <v>2115</v>
      </c>
    </row>
    <row r="39" spans="23:32" x14ac:dyDescent="0.25">
      <c r="AF39" s="37" t="s">
        <v>2116</v>
      </c>
    </row>
    <row r="40" spans="23:32" x14ac:dyDescent="0.25">
      <c r="AF40" s="37" t="s">
        <v>2117</v>
      </c>
    </row>
    <row r="41" spans="23:32" x14ac:dyDescent="0.25">
      <c r="AF41" s="37" t="s">
        <v>2118</v>
      </c>
    </row>
    <row r="42" spans="23:32" x14ac:dyDescent="0.25">
      <c r="AF42" s="37" t="s">
        <v>2119</v>
      </c>
    </row>
    <row r="43" spans="23:32" x14ac:dyDescent="0.25">
      <c r="AF43" s="37" t="s">
        <v>2120</v>
      </c>
    </row>
    <row r="44" spans="23:32" x14ac:dyDescent="0.25">
      <c r="AF44" s="37" t="s">
        <v>2121</v>
      </c>
    </row>
    <row r="45" spans="23:32" x14ac:dyDescent="0.25">
      <c r="AF45" s="37" t="s">
        <v>2122</v>
      </c>
    </row>
    <row r="46" spans="23:32" x14ac:dyDescent="0.25">
      <c r="AF46" s="37" t="s">
        <v>2123</v>
      </c>
    </row>
    <row r="47" spans="23:32" x14ac:dyDescent="0.25">
      <c r="AF47" s="37" t="s">
        <v>2124</v>
      </c>
    </row>
    <row r="48" spans="23:32" x14ac:dyDescent="0.25">
      <c r="AF48" s="37" t="s">
        <v>2125</v>
      </c>
    </row>
    <row r="49" spans="32:32" x14ac:dyDescent="0.25">
      <c r="AF49" s="37" t="s">
        <v>2126</v>
      </c>
    </row>
    <row r="50" spans="32:32" x14ac:dyDescent="0.25">
      <c r="AF50" s="37" t="s">
        <v>2127</v>
      </c>
    </row>
    <row r="51" spans="32:32" x14ac:dyDescent="0.25">
      <c r="AF51" s="37" t="s">
        <v>2128</v>
      </c>
    </row>
    <row r="52" spans="32:32" x14ac:dyDescent="0.25">
      <c r="AF52" s="37" t="s">
        <v>2129</v>
      </c>
    </row>
    <row r="53" spans="32:32" x14ac:dyDescent="0.25">
      <c r="AF53" s="37" t="s">
        <v>2130</v>
      </c>
    </row>
    <row r="54" spans="32:32" x14ac:dyDescent="0.25">
      <c r="AF54" s="37" t="s">
        <v>2131</v>
      </c>
    </row>
    <row r="55" spans="32:32" x14ac:dyDescent="0.25">
      <c r="AF55" s="37" t="s">
        <v>2132</v>
      </c>
    </row>
    <row r="56" spans="32:32" x14ac:dyDescent="0.25">
      <c r="AF56" s="37" t="s">
        <v>2133</v>
      </c>
    </row>
    <row r="57" spans="32:32" x14ac:dyDescent="0.25">
      <c r="AF57" s="37" t="s">
        <v>2134</v>
      </c>
    </row>
    <row r="58" spans="32:32" x14ac:dyDescent="0.25">
      <c r="AF58" s="37" t="s">
        <v>2135</v>
      </c>
    </row>
    <row r="59" spans="32:32" x14ac:dyDescent="0.25">
      <c r="AF59" s="37" t="s">
        <v>2136</v>
      </c>
    </row>
  </sheetData>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56"/>
  <sheetViews>
    <sheetView tabSelected="1" topLeftCell="A23" zoomScale="41" zoomScaleNormal="59" zoomScalePageLayoutView="110" workbookViewId="0">
      <selection activeCell="AG6" sqref="AG6"/>
    </sheetView>
  </sheetViews>
  <sheetFormatPr defaultColWidth="8.875" defaultRowHeight="18.95" customHeight="1" x14ac:dyDescent="0.25"/>
  <cols>
    <col min="1" max="1" width="7.625" customWidth="1"/>
    <col min="2" max="2" width="10.125" bestFit="1" customWidth="1"/>
    <col min="3" max="3" width="11.5" customWidth="1"/>
    <col min="4" max="4" width="13" customWidth="1"/>
    <col min="5" max="6" width="11" customWidth="1"/>
    <col min="7" max="8" width="14.375" customWidth="1"/>
    <col min="9" max="9" width="15.625" customWidth="1"/>
    <col min="10" max="10" width="17.625" customWidth="1"/>
    <col min="11" max="11" width="10.875" customWidth="1"/>
    <col min="12" max="14" width="10.875" style="22" customWidth="1"/>
    <col min="15" max="15" width="13.125" style="22" customWidth="1"/>
    <col min="16" max="16" width="17.625" style="22" bestFit="1" customWidth="1"/>
    <col min="17" max="18" width="10.875" style="22" customWidth="1"/>
    <col min="19" max="19" width="10.875" style="47" customWidth="1"/>
    <col min="20" max="20" width="15.875" style="47" customWidth="1"/>
    <col min="21" max="22" width="17.375" customWidth="1"/>
    <col min="23" max="23" width="18.5" customWidth="1"/>
    <col min="24" max="24" width="11.5" customWidth="1"/>
    <col min="25" max="27" width="17.375" customWidth="1"/>
    <col min="28" max="28" width="26.625" customWidth="1"/>
    <col min="29" max="30" width="15" customWidth="1"/>
    <col min="31" max="31" width="20.625" customWidth="1"/>
    <col min="32" max="32" width="12.5" customWidth="1"/>
    <col min="33" max="33" width="28" customWidth="1"/>
    <col min="34" max="34" width="27.125" customWidth="1"/>
    <col min="35" max="36" width="19.125" customWidth="1"/>
    <col min="37" max="38" width="28.625" style="50" customWidth="1"/>
    <col min="39" max="39" width="11.625" customWidth="1"/>
    <col min="40" max="40" width="18.125" style="1" customWidth="1"/>
    <col min="41" max="41" width="17.375" style="1" customWidth="1"/>
    <col min="42" max="42" width="14.5" style="1" customWidth="1"/>
    <col min="43" max="47" width="41.375" style="50" customWidth="1"/>
    <col min="48" max="48" width="10.125" customWidth="1"/>
    <col min="49" max="49" width="19.875" customWidth="1"/>
    <col min="50" max="50" width="22.625" customWidth="1"/>
    <col min="51" max="51" width="15.5" customWidth="1"/>
    <col min="52" max="52" width="19.375" customWidth="1"/>
    <col min="53" max="55" width="17.5" customWidth="1"/>
    <col min="56" max="56" width="37.5" customWidth="1"/>
    <col min="57" max="57" width="17.625" customWidth="1"/>
    <col min="58" max="58" width="25.5" customWidth="1"/>
    <col min="59" max="59" width="30.875" customWidth="1"/>
    <col min="60" max="61" width="39.125" customWidth="1"/>
    <col min="62" max="63" width="16.875" customWidth="1"/>
    <col min="64" max="64" width="23.875" customWidth="1"/>
    <col min="65" max="65" width="25.125" customWidth="1"/>
    <col min="66" max="66" width="14.875" customWidth="1"/>
    <col min="67" max="222" width="11" customWidth="1"/>
  </cols>
  <sheetData>
    <row r="1" spans="1:66" s="2" customFormat="1" ht="18.95" customHeight="1" x14ac:dyDescent="0.25">
      <c r="A1" s="2" t="s">
        <v>0</v>
      </c>
      <c r="B1" s="48" t="s">
        <v>1</v>
      </c>
      <c r="C1" s="48" t="s">
        <v>2</v>
      </c>
      <c r="D1" s="48" t="s">
        <v>3</v>
      </c>
      <c r="E1" s="48" t="s">
        <v>4</v>
      </c>
      <c r="F1" s="48" t="s">
        <v>46</v>
      </c>
      <c r="G1" s="48" t="s">
        <v>5</v>
      </c>
      <c r="H1" s="48" t="s">
        <v>2137</v>
      </c>
      <c r="I1" s="48" t="s">
        <v>6</v>
      </c>
      <c r="J1" s="48" t="s">
        <v>7</v>
      </c>
      <c r="K1" s="48" t="s">
        <v>8</v>
      </c>
      <c r="L1" s="21" t="s">
        <v>9</v>
      </c>
      <c r="M1" s="21" t="s">
        <v>1834</v>
      </c>
      <c r="N1" s="21" t="s">
        <v>1835</v>
      </c>
      <c r="O1" s="21" t="s">
        <v>10</v>
      </c>
      <c r="P1" s="21" t="s">
        <v>11</v>
      </c>
      <c r="Q1" s="21" t="s">
        <v>12</v>
      </c>
      <c r="R1" s="21" t="s">
        <v>13</v>
      </c>
      <c r="S1" s="45" t="s">
        <v>2235</v>
      </c>
      <c r="T1" s="21" t="s">
        <v>14</v>
      </c>
      <c r="U1" s="2" t="s">
        <v>15</v>
      </c>
      <c r="V1" s="2" t="s">
        <v>2160</v>
      </c>
      <c r="W1" s="2" t="s">
        <v>2223</v>
      </c>
      <c r="X1" s="2" t="s">
        <v>44</v>
      </c>
      <c r="Y1" s="2" t="s">
        <v>2238</v>
      </c>
      <c r="Z1" s="2" t="s">
        <v>2224</v>
      </c>
      <c r="AA1" s="2" t="s">
        <v>43</v>
      </c>
      <c r="AB1" s="2" t="s">
        <v>16</v>
      </c>
      <c r="AC1" s="2" t="s">
        <v>17</v>
      </c>
      <c r="AD1" s="2" t="s">
        <v>2163</v>
      </c>
      <c r="AE1" s="2" t="s">
        <v>18</v>
      </c>
      <c r="AF1" s="2" t="s">
        <v>19</v>
      </c>
      <c r="AG1" s="2" t="s">
        <v>20</v>
      </c>
      <c r="AH1" s="2" t="s">
        <v>21</v>
      </c>
      <c r="AI1" s="2" t="s">
        <v>22</v>
      </c>
      <c r="AJ1" s="2" t="s">
        <v>23</v>
      </c>
      <c r="AK1" s="49" t="s">
        <v>2226</v>
      </c>
      <c r="AL1" s="49" t="s">
        <v>2227</v>
      </c>
      <c r="AM1" s="2" t="s">
        <v>24</v>
      </c>
      <c r="AN1" s="3" t="s">
        <v>25</v>
      </c>
      <c r="AO1" s="3" t="s">
        <v>26</v>
      </c>
      <c r="AP1" s="3" t="s">
        <v>27</v>
      </c>
      <c r="AQ1" s="49" t="s">
        <v>28</v>
      </c>
      <c r="AR1" s="49" t="s">
        <v>29</v>
      </c>
      <c r="AS1" s="49" t="s">
        <v>30</v>
      </c>
      <c r="AT1" s="49" t="s">
        <v>31</v>
      </c>
      <c r="AU1" s="49" t="s">
        <v>32</v>
      </c>
      <c r="AV1" s="2" t="s">
        <v>33</v>
      </c>
      <c r="AW1" s="2" t="s">
        <v>34</v>
      </c>
      <c r="AX1" s="2" t="s">
        <v>35</v>
      </c>
      <c r="AY1" s="2" t="s">
        <v>36</v>
      </c>
      <c r="AZ1" s="2" t="s">
        <v>37</v>
      </c>
      <c r="BA1" s="2" t="s">
        <v>38</v>
      </c>
      <c r="BB1" s="2" t="s">
        <v>39</v>
      </c>
      <c r="BC1" s="2" t="s">
        <v>2181</v>
      </c>
      <c r="BD1" s="2" t="s">
        <v>2154</v>
      </c>
      <c r="BE1" s="2" t="s">
        <v>40</v>
      </c>
      <c r="BF1" s="2" t="s">
        <v>2228</v>
      </c>
      <c r="BG1" s="2" t="s">
        <v>2229</v>
      </c>
      <c r="BH1" s="2" t="s">
        <v>2231</v>
      </c>
      <c r="BI1" s="2" t="s">
        <v>2230</v>
      </c>
      <c r="BJ1" s="2" t="s">
        <v>42</v>
      </c>
      <c r="BK1" s="2" t="s">
        <v>41</v>
      </c>
      <c r="BL1" s="2" t="s">
        <v>2211</v>
      </c>
      <c r="BM1" s="2" t="s">
        <v>2212</v>
      </c>
      <c r="BN1" s="2" t="s">
        <v>2213</v>
      </c>
    </row>
    <row r="2" spans="1:66" ht="18.95" customHeight="1" x14ac:dyDescent="0.25">
      <c r="A2" t="s">
        <v>2972</v>
      </c>
      <c r="B2" t="s">
        <v>2016</v>
      </c>
      <c r="C2" t="s">
        <v>3050</v>
      </c>
      <c r="D2" t="s">
        <v>2874</v>
      </c>
      <c r="E2" t="s">
        <v>2865</v>
      </c>
      <c r="F2" t="s">
        <v>2873</v>
      </c>
      <c r="G2">
        <v>2023</v>
      </c>
      <c r="H2" t="s">
        <v>2140</v>
      </c>
      <c r="I2" t="s">
        <v>59</v>
      </c>
      <c r="J2" t="s">
        <v>2001</v>
      </c>
      <c r="K2" t="s">
        <v>2004</v>
      </c>
      <c r="L2" s="22" t="s">
        <v>1806</v>
      </c>
      <c r="M2" s="22" t="s">
        <v>862</v>
      </c>
      <c r="N2" s="22" t="s">
        <v>968</v>
      </c>
      <c r="O2" s="22" t="s">
        <v>1002</v>
      </c>
      <c r="P2" s="22" t="s">
        <v>1072</v>
      </c>
      <c r="Q2" s="22" t="s">
        <v>1073</v>
      </c>
      <c r="R2" s="22" t="s">
        <v>2866</v>
      </c>
      <c r="S2" s="46"/>
      <c r="T2" s="47" t="s">
        <v>2867</v>
      </c>
      <c r="U2" s="65" t="s">
        <v>1995</v>
      </c>
      <c r="V2" s="65" t="s">
        <v>1995</v>
      </c>
      <c r="W2" s="65" t="s">
        <v>2001</v>
      </c>
      <c r="X2" s="65" t="s">
        <v>2094</v>
      </c>
      <c r="Y2" s="65" t="s">
        <v>2935</v>
      </c>
      <c r="Z2" s="65" t="s">
        <v>1992</v>
      </c>
      <c r="AA2" s="65" t="s">
        <v>1992</v>
      </c>
      <c r="AB2" t="s">
        <v>1861</v>
      </c>
      <c r="AC2" s="36" t="s">
        <v>1865</v>
      </c>
      <c r="AD2" s="36" t="s">
        <v>2001</v>
      </c>
      <c r="AE2" s="36" t="s">
        <v>67</v>
      </c>
      <c r="AF2" s="36" t="s">
        <v>75</v>
      </c>
      <c r="AG2">
        <v>2021</v>
      </c>
      <c r="AH2" s="36" t="s">
        <v>2007</v>
      </c>
      <c r="AI2">
        <v>2021</v>
      </c>
      <c r="AJ2">
        <v>2021</v>
      </c>
      <c r="AK2" s="50">
        <v>2021</v>
      </c>
      <c r="AL2" s="50">
        <v>2021</v>
      </c>
      <c r="AM2" t="s">
        <v>2008</v>
      </c>
      <c r="AN2">
        <v>55800000</v>
      </c>
      <c r="AO2">
        <v>14000000</v>
      </c>
      <c r="AP2">
        <v>125600000</v>
      </c>
      <c r="AQ2" s="70">
        <f>AN2*0.7513*(111.175/119.425)</f>
        <v>39026488.461377434</v>
      </c>
      <c r="AR2" s="70">
        <f>(AN2/1.395724)*(270.973/245.121)</f>
        <v>44195713.779711798</v>
      </c>
      <c r="AS2" s="70">
        <v>55800000</v>
      </c>
      <c r="AT2" s="70">
        <f>AN2*0.7513*(111.175/119.425)</f>
        <v>39026488.461377434</v>
      </c>
      <c r="AU2" s="70">
        <f>(AN2/1.395724)*(270.973/245.121)</f>
        <v>44195713.779711798</v>
      </c>
      <c r="AV2" t="s">
        <v>2868</v>
      </c>
      <c r="AW2">
        <v>2021</v>
      </c>
      <c r="AX2" t="s">
        <v>1998</v>
      </c>
      <c r="AY2" t="s">
        <v>1999</v>
      </c>
      <c r="AZ2" t="s">
        <v>2011</v>
      </c>
      <c r="BA2" t="s">
        <v>139</v>
      </c>
      <c r="BB2" t="s">
        <v>2194</v>
      </c>
      <c r="BC2" t="s">
        <v>2194</v>
      </c>
      <c r="BD2" t="s">
        <v>2001</v>
      </c>
      <c r="BE2" t="s">
        <v>2012</v>
      </c>
      <c r="BF2" t="s">
        <v>2012</v>
      </c>
      <c r="BG2" t="s">
        <v>3072</v>
      </c>
      <c r="BI2" t="s">
        <v>2869</v>
      </c>
      <c r="BJ2" t="s">
        <v>2870</v>
      </c>
      <c r="BK2" t="s">
        <v>2908</v>
      </c>
      <c r="BL2" t="s">
        <v>2871</v>
      </c>
      <c r="BM2" s="66" t="s">
        <v>2872</v>
      </c>
      <c r="BN2" t="s">
        <v>1994</v>
      </c>
    </row>
    <row r="3" spans="1:66" ht="18.95" customHeight="1" x14ac:dyDescent="0.25">
      <c r="A3" t="s">
        <v>2973</v>
      </c>
      <c r="B3" t="s">
        <v>2016</v>
      </c>
      <c r="C3" t="s">
        <v>3050</v>
      </c>
      <c r="D3" t="s">
        <v>2874</v>
      </c>
      <c r="E3" t="s">
        <v>2865</v>
      </c>
      <c r="F3" t="s">
        <v>2873</v>
      </c>
      <c r="G3">
        <v>2023</v>
      </c>
      <c r="H3" t="s">
        <v>2140</v>
      </c>
      <c r="I3" t="s">
        <v>59</v>
      </c>
      <c r="J3" t="s">
        <v>2001</v>
      </c>
      <c r="K3" t="s">
        <v>2004</v>
      </c>
      <c r="L3" s="22" t="s">
        <v>1806</v>
      </c>
      <c r="M3" s="22" t="s">
        <v>862</v>
      </c>
      <c r="N3" s="22" t="s">
        <v>968</v>
      </c>
      <c r="O3" s="22" t="s">
        <v>1002</v>
      </c>
      <c r="P3" s="22" t="s">
        <v>1072</v>
      </c>
      <c r="Q3" s="22" t="s">
        <v>1073</v>
      </c>
      <c r="R3" s="22" t="s">
        <v>2866</v>
      </c>
      <c r="S3" s="46"/>
      <c r="T3" s="47" t="s">
        <v>2867</v>
      </c>
      <c r="U3" s="65" t="s">
        <v>1995</v>
      </c>
      <c r="V3" s="65" t="s">
        <v>1995</v>
      </c>
      <c r="W3" s="65" t="s">
        <v>2001</v>
      </c>
      <c r="X3" s="65" t="s">
        <v>2094</v>
      </c>
      <c r="Y3" s="65" t="s">
        <v>2935</v>
      </c>
      <c r="Z3" s="65" t="s">
        <v>1992</v>
      </c>
      <c r="AA3" s="65" t="s">
        <v>1992</v>
      </c>
      <c r="AB3" t="s">
        <v>1861</v>
      </c>
      <c r="AC3" s="36" t="s">
        <v>1865</v>
      </c>
      <c r="AD3" s="36" t="s">
        <v>2875</v>
      </c>
      <c r="AE3" s="36" t="s">
        <v>67</v>
      </c>
      <c r="AF3" s="36" t="s">
        <v>74</v>
      </c>
      <c r="AG3">
        <v>2019</v>
      </c>
      <c r="AH3" s="36" t="s">
        <v>2007</v>
      </c>
      <c r="AI3">
        <v>2019</v>
      </c>
      <c r="AJ3">
        <v>2019</v>
      </c>
      <c r="AK3" s="50">
        <v>2019</v>
      </c>
      <c r="AL3" s="50">
        <v>2019</v>
      </c>
      <c r="AM3" t="s">
        <v>2008</v>
      </c>
      <c r="AN3">
        <f>(634484 + 21001 + 184232 + 1605337 + 671874 + 1064296 + 4148601)</f>
        <v>8329825</v>
      </c>
      <c r="AO3"/>
      <c r="AP3"/>
      <c r="AQ3" s="70">
        <f>AN3*0.6952*(111.175/115.125)</f>
        <v>5592205.6742627583</v>
      </c>
      <c r="AR3" s="70">
        <f>(AN3/1.459253)*(255.653/245.121)</f>
        <v>5953545.2156218523</v>
      </c>
      <c r="AS3" s="70">
        <f>(AN3)</f>
        <v>8329825</v>
      </c>
      <c r="AT3" s="70">
        <f>AN3*0.6952*(111.175/115.125)</f>
        <v>5592205.6742627583</v>
      </c>
      <c r="AU3" s="70">
        <f>(AN3/1.459253)*(255.653/245.121)</f>
        <v>5953545.2156218523</v>
      </c>
      <c r="AV3" t="s">
        <v>2868</v>
      </c>
      <c r="AW3">
        <v>2019</v>
      </c>
      <c r="AX3" t="s">
        <v>1998</v>
      </c>
      <c r="AY3" t="s">
        <v>1999</v>
      </c>
      <c r="AZ3" t="s">
        <v>2011</v>
      </c>
      <c r="BA3" t="s">
        <v>139</v>
      </c>
      <c r="BB3" t="s">
        <v>2195</v>
      </c>
      <c r="BC3" t="s">
        <v>2195</v>
      </c>
      <c r="BD3" t="s">
        <v>2200</v>
      </c>
      <c r="BE3" t="s">
        <v>2000</v>
      </c>
      <c r="BF3" t="s">
        <v>2000</v>
      </c>
      <c r="BG3" t="s">
        <v>2929</v>
      </c>
      <c r="BI3" t="s">
        <v>2869</v>
      </c>
      <c r="BJ3" t="s">
        <v>2870</v>
      </c>
      <c r="BK3" t="s">
        <v>2929</v>
      </c>
      <c r="BL3" t="s">
        <v>2871</v>
      </c>
      <c r="BM3" s="66" t="s">
        <v>2872</v>
      </c>
      <c r="BN3" t="s">
        <v>1994</v>
      </c>
    </row>
    <row r="4" spans="1:66" ht="18.95" customHeight="1" x14ac:dyDescent="0.25">
      <c r="A4" t="s">
        <v>2974</v>
      </c>
      <c r="B4" t="s">
        <v>2016</v>
      </c>
      <c r="C4" t="s">
        <v>3050</v>
      </c>
      <c r="D4" t="s">
        <v>2874</v>
      </c>
      <c r="E4" t="s">
        <v>2865</v>
      </c>
      <c r="F4" t="s">
        <v>2873</v>
      </c>
      <c r="G4">
        <v>2023</v>
      </c>
      <c r="H4" t="s">
        <v>2140</v>
      </c>
      <c r="I4" t="s">
        <v>59</v>
      </c>
      <c r="J4" t="s">
        <v>2001</v>
      </c>
      <c r="K4" t="s">
        <v>2004</v>
      </c>
      <c r="L4" s="22" t="s">
        <v>1806</v>
      </c>
      <c r="M4" s="22" t="s">
        <v>862</v>
      </c>
      <c r="N4" s="22" t="s">
        <v>968</v>
      </c>
      <c r="O4" s="22" t="s">
        <v>1002</v>
      </c>
      <c r="P4" s="22" t="s">
        <v>1072</v>
      </c>
      <c r="Q4" s="22" t="s">
        <v>1073</v>
      </c>
      <c r="R4" s="22" t="s">
        <v>2866</v>
      </c>
      <c r="S4" s="46"/>
      <c r="T4" s="47" t="s">
        <v>2867</v>
      </c>
      <c r="U4" s="65" t="s">
        <v>1995</v>
      </c>
      <c r="V4" s="65" t="s">
        <v>1995</v>
      </c>
      <c r="W4" s="65" t="s">
        <v>2001</v>
      </c>
      <c r="X4" s="65" t="s">
        <v>2094</v>
      </c>
      <c r="Y4" s="65" t="s">
        <v>2935</v>
      </c>
      <c r="Z4" s="65" t="s">
        <v>1992</v>
      </c>
      <c r="AA4" s="65" t="s">
        <v>1992</v>
      </c>
      <c r="AB4" t="s">
        <v>1861</v>
      </c>
      <c r="AC4" s="36" t="s">
        <v>1865</v>
      </c>
      <c r="AD4" s="36" t="s">
        <v>2876</v>
      </c>
      <c r="AE4" s="36" t="s">
        <v>67</v>
      </c>
      <c r="AF4" s="36" t="s">
        <v>74</v>
      </c>
      <c r="AG4">
        <v>2019</v>
      </c>
      <c r="AH4" s="36" t="s">
        <v>2007</v>
      </c>
      <c r="AI4">
        <v>2019</v>
      </c>
      <c r="AJ4">
        <v>2019</v>
      </c>
      <c r="AK4" s="50">
        <v>2019</v>
      </c>
      <c r="AL4" s="50">
        <v>2019</v>
      </c>
      <c r="AM4" t="s">
        <v>2008</v>
      </c>
      <c r="AN4">
        <f>(298522 + 161931 + 46460)</f>
        <v>506913</v>
      </c>
      <c r="AO4"/>
      <c r="AP4"/>
      <c r="AQ4" s="70">
        <f t="shared" ref="AQ4:AQ7" si="0">AN4*0.6952*(111.175/115.125)</f>
        <v>340314.68307648209</v>
      </c>
      <c r="AR4" s="70">
        <f t="shared" ref="AR4:AR7" si="1">(AN4/1.459253)*(255.653/245.121)</f>
        <v>362304.065918134</v>
      </c>
      <c r="AS4" s="70">
        <f t="shared" ref="AS4:AS55" si="2">(AN4)</f>
        <v>506913</v>
      </c>
      <c r="AT4" s="70">
        <f t="shared" ref="AT4:AT7" si="3">AN4*0.6952*(111.175/115.125)</f>
        <v>340314.68307648209</v>
      </c>
      <c r="AU4" s="70">
        <f t="shared" ref="AU4:AU7" si="4">(AN4/1.459253)*(255.653/245.121)</f>
        <v>362304.065918134</v>
      </c>
      <c r="AV4" t="s">
        <v>2868</v>
      </c>
      <c r="AW4">
        <v>2019</v>
      </c>
      <c r="AX4" t="s">
        <v>1998</v>
      </c>
      <c r="AY4" t="s">
        <v>1999</v>
      </c>
      <c r="AZ4" t="s">
        <v>2011</v>
      </c>
      <c r="BA4" t="s">
        <v>139</v>
      </c>
      <c r="BB4" t="s">
        <v>2195</v>
      </c>
      <c r="BC4" t="s">
        <v>2195</v>
      </c>
      <c r="BD4" t="s">
        <v>2200</v>
      </c>
      <c r="BE4" t="s">
        <v>2000</v>
      </c>
      <c r="BF4" t="s">
        <v>2000</v>
      </c>
      <c r="BG4" t="s">
        <v>2929</v>
      </c>
      <c r="BI4" t="s">
        <v>2869</v>
      </c>
      <c r="BJ4" t="s">
        <v>2870</v>
      </c>
      <c r="BK4" t="s">
        <v>2929</v>
      </c>
      <c r="BL4" t="s">
        <v>2871</v>
      </c>
      <c r="BM4" s="66" t="s">
        <v>2872</v>
      </c>
      <c r="BN4" t="s">
        <v>1994</v>
      </c>
    </row>
    <row r="5" spans="1:66" ht="18.95" customHeight="1" x14ac:dyDescent="0.25">
      <c r="A5" t="s">
        <v>2975</v>
      </c>
      <c r="B5" t="s">
        <v>2016</v>
      </c>
      <c r="C5" t="s">
        <v>3050</v>
      </c>
      <c r="D5" t="s">
        <v>2874</v>
      </c>
      <c r="E5" t="s">
        <v>2865</v>
      </c>
      <c r="F5" t="s">
        <v>2873</v>
      </c>
      <c r="G5">
        <v>2023</v>
      </c>
      <c r="H5" t="s">
        <v>2140</v>
      </c>
      <c r="I5" t="s">
        <v>59</v>
      </c>
      <c r="J5" t="s">
        <v>2001</v>
      </c>
      <c r="K5" t="s">
        <v>2004</v>
      </c>
      <c r="L5" s="22" t="s">
        <v>1806</v>
      </c>
      <c r="M5" s="22" t="s">
        <v>862</v>
      </c>
      <c r="N5" s="22" t="s">
        <v>968</v>
      </c>
      <c r="O5" s="22" t="s">
        <v>1002</v>
      </c>
      <c r="P5" s="22" t="s">
        <v>1072</v>
      </c>
      <c r="Q5" s="22" t="s">
        <v>1073</v>
      </c>
      <c r="R5" s="22" t="s">
        <v>2866</v>
      </c>
      <c r="S5" s="46"/>
      <c r="T5" s="47" t="s">
        <v>2867</v>
      </c>
      <c r="U5" s="65" t="s">
        <v>1995</v>
      </c>
      <c r="V5" s="65" t="s">
        <v>1995</v>
      </c>
      <c r="W5" s="65" t="s">
        <v>2001</v>
      </c>
      <c r="X5" s="65" t="s">
        <v>2094</v>
      </c>
      <c r="Y5" s="65" t="s">
        <v>2935</v>
      </c>
      <c r="Z5" s="65" t="s">
        <v>1992</v>
      </c>
      <c r="AA5" s="65" t="s">
        <v>1992</v>
      </c>
      <c r="AB5" t="s">
        <v>1861</v>
      </c>
      <c r="AC5" s="36" t="s">
        <v>1865</v>
      </c>
      <c r="AD5" s="36" t="s">
        <v>2879</v>
      </c>
      <c r="AE5" s="36" t="s">
        <v>67</v>
      </c>
      <c r="AF5" s="36" t="s">
        <v>74</v>
      </c>
      <c r="AG5">
        <v>2019</v>
      </c>
      <c r="AH5" s="36" t="s">
        <v>2007</v>
      </c>
      <c r="AI5">
        <v>2019</v>
      </c>
      <c r="AJ5">
        <v>2019</v>
      </c>
      <c r="AK5" s="50">
        <v>2019</v>
      </c>
      <c r="AL5" s="50">
        <v>2019</v>
      </c>
      <c r="AM5" t="s">
        <v>2008</v>
      </c>
      <c r="AN5">
        <f>( 177230 + 91709 + 272092)</f>
        <v>541031</v>
      </c>
      <c r="AO5"/>
      <c r="AP5"/>
      <c r="AQ5" s="70">
        <f t="shared" si="0"/>
        <v>363219.7108765255</v>
      </c>
      <c r="AR5" s="70">
        <f t="shared" si="1"/>
        <v>386689.09869692422</v>
      </c>
      <c r="AS5" s="70">
        <f t="shared" si="2"/>
        <v>541031</v>
      </c>
      <c r="AT5" s="70">
        <f t="shared" si="3"/>
        <v>363219.7108765255</v>
      </c>
      <c r="AU5" s="70">
        <f t="shared" si="4"/>
        <v>386689.09869692422</v>
      </c>
      <c r="AV5" t="s">
        <v>2868</v>
      </c>
      <c r="AW5">
        <v>2019</v>
      </c>
      <c r="AX5" t="s">
        <v>1998</v>
      </c>
      <c r="AY5" t="s">
        <v>1999</v>
      </c>
      <c r="AZ5" t="s">
        <v>2011</v>
      </c>
      <c r="BA5" t="s">
        <v>139</v>
      </c>
      <c r="BB5" t="s">
        <v>2195</v>
      </c>
      <c r="BC5" t="s">
        <v>2195</v>
      </c>
      <c r="BD5" t="s">
        <v>2200</v>
      </c>
      <c r="BE5" t="s">
        <v>2000</v>
      </c>
      <c r="BF5" t="s">
        <v>2000</v>
      </c>
      <c r="BG5" t="s">
        <v>2929</v>
      </c>
      <c r="BI5" t="s">
        <v>2869</v>
      </c>
      <c r="BJ5" t="s">
        <v>2870</v>
      </c>
      <c r="BK5" t="s">
        <v>2929</v>
      </c>
      <c r="BL5" t="s">
        <v>2871</v>
      </c>
      <c r="BM5" s="66" t="s">
        <v>2872</v>
      </c>
      <c r="BN5" t="s">
        <v>1994</v>
      </c>
    </row>
    <row r="6" spans="1:66" ht="18.95" customHeight="1" x14ac:dyDescent="0.25">
      <c r="A6" t="s">
        <v>2976</v>
      </c>
      <c r="B6" t="s">
        <v>2016</v>
      </c>
      <c r="C6" t="s">
        <v>3050</v>
      </c>
      <c r="D6" t="s">
        <v>2874</v>
      </c>
      <c r="E6" t="s">
        <v>2865</v>
      </c>
      <c r="F6" t="s">
        <v>2873</v>
      </c>
      <c r="G6">
        <v>2023</v>
      </c>
      <c r="H6" t="s">
        <v>2140</v>
      </c>
      <c r="I6" t="s">
        <v>59</v>
      </c>
      <c r="J6" t="s">
        <v>2001</v>
      </c>
      <c r="K6" t="s">
        <v>2004</v>
      </c>
      <c r="L6" s="22" t="s">
        <v>1806</v>
      </c>
      <c r="M6" s="22" t="s">
        <v>862</v>
      </c>
      <c r="N6" s="22" t="s">
        <v>968</v>
      </c>
      <c r="O6" s="22" t="s">
        <v>1002</v>
      </c>
      <c r="P6" s="22" t="s">
        <v>1072</v>
      </c>
      <c r="Q6" s="22" t="s">
        <v>1073</v>
      </c>
      <c r="R6" s="22" t="s">
        <v>2866</v>
      </c>
      <c r="S6" s="46"/>
      <c r="T6" s="47" t="s">
        <v>2867</v>
      </c>
      <c r="U6" s="65" t="s">
        <v>1995</v>
      </c>
      <c r="V6" s="65" t="s">
        <v>1995</v>
      </c>
      <c r="W6" s="65" t="s">
        <v>2001</v>
      </c>
      <c r="X6" s="65" t="s">
        <v>2094</v>
      </c>
      <c r="Y6" s="65" t="s">
        <v>2935</v>
      </c>
      <c r="Z6" s="65" t="s">
        <v>1992</v>
      </c>
      <c r="AA6" s="65" t="s">
        <v>1992</v>
      </c>
      <c r="AB6" t="s">
        <v>1861</v>
      </c>
      <c r="AC6" s="36" t="s">
        <v>1865</v>
      </c>
      <c r="AD6" s="36" t="s">
        <v>2930</v>
      </c>
      <c r="AE6" s="36" t="s">
        <v>67</v>
      </c>
      <c r="AF6" s="36" t="s">
        <v>74</v>
      </c>
      <c r="AG6">
        <v>2019</v>
      </c>
      <c r="AH6" s="36" t="s">
        <v>2007</v>
      </c>
      <c r="AI6">
        <v>2019</v>
      </c>
      <c r="AJ6">
        <v>2019</v>
      </c>
      <c r="AK6" s="50">
        <v>2019</v>
      </c>
      <c r="AL6" s="50">
        <v>2019</v>
      </c>
      <c r="AM6" t="s">
        <v>2008</v>
      </c>
      <c r="AN6">
        <f>(1008127 + 179118)</f>
        <v>1187245</v>
      </c>
      <c r="AO6"/>
      <c r="AP6"/>
      <c r="AQ6" s="70">
        <f t="shared" si="0"/>
        <v>797053.74671617802</v>
      </c>
      <c r="AR6" s="70">
        <f t="shared" si="1"/>
        <v>848555.25650550483</v>
      </c>
      <c r="AS6" s="70">
        <f t="shared" si="2"/>
        <v>1187245</v>
      </c>
      <c r="AT6" s="70">
        <f t="shared" si="3"/>
        <v>797053.74671617802</v>
      </c>
      <c r="AU6" s="70">
        <f t="shared" si="4"/>
        <v>848555.25650550483</v>
      </c>
      <c r="AV6" t="s">
        <v>2868</v>
      </c>
      <c r="AW6">
        <v>2019</v>
      </c>
      <c r="AX6" t="s">
        <v>1998</v>
      </c>
      <c r="AY6" t="s">
        <v>1999</v>
      </c>
      <c r="AZ6" t="s">
        <v>2011</v>
      </c>
      <c r="BA6" t="s">
        <v>139</v>
      </c>
      <c r="BB6" t="s">
        <v>2195</v>
      </c>
      <c r="BC6" t="s">
        <v>2195</v>
      </c>
      <c r="BD6" t="s">
        <v>2200</v>
      </c>
      <c r="BE6" t="s">
        <v>2000</v>
      </c>
      <c r="BF6" t="s">
        <v>2000</v>
      </c>
      <c r="BG6" t="s">
        <v>2929</v>
      </c>
      <c r="BI6" t="s">
        <v>2869</v>
      </c>
      <c r="BJ6" t="s">
        <v>2870</v>
      </c>
      <c r="BK6" t="s">
        <v>2929</v>
      </c>
      <c r="BL6" t="s">
        <v>2871</v>
      </c>
      <c r="BM6" s="66" t="s">
        <v>2872</v>
      </c>
      <c r="BN6" t="s">
        <v>1994</v>
      </c>
    </row>
    <row r="7" spans="1:66" ht="18.95" customHeight="1" x14ac:dyDescent="0.25">
      <c r="A7" t="s">
        <v>2977</v>
      </c>
      <c r="B7" t="s">
        <v>2016</v>
      </c>
      <c r="C7" t="s">
        <v>3050</v>
      </c>
      <c r="D7" t="s">
        <v>2874</v>
      </c>
      <c r="E7" t="s">
        <v>2865</v>
      </c>
      <c r="F7" t="s">
        <v>2873</v>
      </c>
      <c r="G7">
        <v>2023</v>
      </c>
      <c r="H7" t="s">
        <v>2140</v>
      </c>
      <c r="I7" t="s">
        <v>59</v>
      </c>
      <c r="J7" t="s">
        <v>2001</v>
      </c>
      <c r="K7" t="s">
        <v>2004</v>
      </c>
      <c r="L7" s="22" t="s">
        <v>1806</v>
      </c>
      <c r="M7" s="22" t="s">
        <v>862</v>
      </c>
      <c r="N7" s="22" t="s">
        <v>968</v>
      </c>
      <c r="O7" s="22" t="s">
        <v>1002</v>
      </c>
      <c r="P7" s="22" t="s">
        <v>1072</v>
      </c>
      <c r="Q7" s="22" t="s">
        <v>1073</v>
      </c>
      <c r="R7" s="22" t="s">
        <v>2866</v>
      </c>
      <c r="S7" s="46"/>
      <c r="T7" s="47" t="s">
        <v>2867</v>
      </c>
      <c r="U7" s="65" t="s">
        <v>1995</v>
      </c>
      <c r="V7" s="65" t="s">
        <v>1995</v>
      </c>
      <c r="W7" s="65" t="s">
        <v>2001</v>
      </c>
      <c r="X7" s="65" t="s">
        <v>2094</v>
      </c>
      <c r="Y7" s="65" t="s">
        <v>2935</v>
      </c>
      <c r="Z7" s="65" t="s">
        <v>1992</v>
      </c>
      <c r="AA7" s="65" t="s">
        <v>1992</v>
      </c>
      <c r="AB7" t="s">
        <v>1861</v>
      </c>
      <c r="AC7" s="36" t="s">
        <v>1865</v>
      </c>
      <c r="AD7" s="36" t="s">
        <v>2877</v>
      </c>
      <c r="AE7" s="36" t="s">
        <v>67</v>
      </c>
      <c r="AF7" s="36" t="s">
        <v>74</v>
      </c>
      <c r="AG7">
        <v>2019</v>
      </c>
      <c r="AH7" s="36" t="s">
        <v>2007</v>
      </c>
      <c r="AI7">
        <v>2019</v>
      </c>
      <c r="AJ7">
        <v>2019</v>
      </c>
      <c r="AK7" s="50">
        <v>2019</v>
      </c>
      <c r="AL7" s="50">
        <v>2019</v>
      </c>
      <c r="AM7" t="s">
        <v>2008</v>
      </c>
      <c r="AN7">
        <f>(431201 + 312604 + 4740905 + 1702598 + 64726)</f>
        <v>7252034</v>
      </c>
      <c r="AO7"/>
      <c r="AP7"/>
      <c r="AQ7" s="70">
        <f t="shared" si="0"/>
        <v>4868633.5769054499</v>
      </c>
      <c r="AR7" s="70">
        <f t="shared" si="1"/>
        <v>5183219.6143648885</v>
      </c>
      <c r="AS7" s="70">
        <f t="shared" si="2"/>
        <v>7252034</v>
      </c>
      <c r="AT7" s="70">
        <f t="shared" si="3"/>
        <v>4868633.5769054499</v>
      </c>
      <c r="AU7" s="70">
        <f t="shared" si="4"/>
        <v>5183219.6143648885</v>
      </c>
      <c r="AV7" t="s">
        <v>2868</v>
      </c>
      <c r="AW7">
        <v>2019</v>
      </c>
      <c r="AX7" t="s">
        <v>1998</v>
      </c>
      <c r="AY7" t="s">
        <v>1999</v>
      </c>
      <c r="AZ7" t="s">
        <v>2011</v>
      </c>
      <c r="BA7" t="s">
        <v>139</v>
      </c>
      <c r="BB7" t="s">
        <v>2195</v>
      </c>
      <c r="BC7" t="s">
        <v>2195</v>
      </c>
      <c r="BD7" t="s">
        <v>2200</v>
      </c>
      <c r="BE7" t="s">
        <v>2000</v>
      </c>
      <c r="BF7" t="s">
        <v>2000</v>
      </c>
      <c r="BG7" t="s">
        <v>2929</v>
      </c>
      <c r="BI7" t="s">
        <v>2869</v>
      </c>
      <c r="BJ7" t="s">
        <v>2870</v>
      </c>
      <c r="BK7" t="s">
        <v>2929</v>
      </c>
      <c r="BL7" t="s">
        <v>2871</v>
      </c>
      <c r="BM7" s="66" t="s">
        <v>2872</v>
      </c>
      <c r="BN7" t="s">
        <v>1994</v>
      </c>
    </row>
    <row r="8" spans="1:66" ht="18.95" customHeight="1" x14ac:dyDescent="0.25">
      <c r="A8" t="s">
        <v>2978</v>
      </c>
      <c r="B8" t="s">
        <v>2016</v>
      </c>
      <c r="C8" t="s">
        <v>3050</v>
      </c>
      <c r="D8" t="s">
        <v>2874</v>
      </c>
      <c r="E8" t="s">
        <v>2865</v>
      </c>
      <c r="F8" t="s">
        <v>2873</v>
      </c>
      <c r="G8">
        <v>2023</v>
      </c>
      <c r="H8" t="s">
        <v>2140</v>
      </c>
      <c r="I8" t="s">
        <v>59</v>
      </c>
      <c r="J8" t="s">
        <v>2001</v>
      </c>
      <c r="K8" t="s">
        <v>2004</v>
      </c>
      <c r="L8" s="22" t="s">
        <v>1806</v>
      </c>
      <c r="M8" s="22" t="s">
        <v>862</v>
      </c>
      <c r="N8" s="22" t="s">
        <v>968</v>
      </c>
      <c r="O8" s="22" t="s">
        <v>1002</v>
      </c>
      <c r="P8" s="22" t="s">
        <v>1072</v>
      </c>
      <c r="Q8" s="22" t="s">
        <v>1073</v>
      </c>
      <c r="R8" s="22" t="s">
        <v>2866</v>
      </c>
      <c r="S8" s="46"/>
      <c r="T8" s="47" t="s">
        <v>2867</v>
      </c>
      <c r="U8" s="65" t="s">
        <v>1995</v>
      </c>
      <c r="V8" s="65" t="s">
        <v>1995</v>
      </c>
      <c r="W8" s="65" t="s">
        <v>2001</v>
      </c>
      <c r="X8" s="65" t="s">
        <v>2001</v>
      </c>
      <c r="Y8" s="65" t="s">
        <v>2935</v>
      </c>
      <c r="Z8" s="65" t="s">
        <v>1992</v>
      </c>
      <c r="AA8" s="65" t="s">
        <v>1992</v>
      </c>
      <c r="AB8" t="s">
        <v>1861</v>
      </c>
      <c r="AC8" s="36" t="s">
        <v>1865</v>
      </c>
      <c r="AD8" s="36" t="s">
        <v>2875</v>
      </c>
      <c r="AE8" s="36" t="s">
        <v>67</v>
      </c>
      <c r="AF8" s="36" t="s">
        <v>74</v>
      </c>
      <c r="AG8">
        <v>2021</v>
      </c>
      <c r="AH8" s="36" t="s">
        <v>2007</v>
      </c>
      <c r="AI8">
        <v>2021</v>
      </c>
      <c r="AJ8">
        <v>2021</v>
      </c>
      <c r="AK8" s="50">
        <v>2021</v>
      </c>
      <c r="AL8" s="50">
        <v>2021</v>
      </c>
      <c r="AM8" t="s">
        <v>2008</v>
      </c>
      <c r="AN8">
        <v>5700000</v>
      </c>
      <c r="AO8">
        <v>4700000</v>
      </c>
      <c r="AP8">
        <v>6700000</v>
      </c>
      <c r="AQ8" s="70">
        <f>AN8*0.7513*(111.175/119.425)</f>
        <v>3986576.7783127488</v>
      </c>
      <c r="AR8" s="70">
        <f>(AN8/1.395724)*(270.973/245.121)</f>
        <v>4514615.9237340009</v>
      </c>
      <c r="AS8" s="70">
        <f t="shared" si="2"/>
        <v>5700000</v>
      </c>
      <c r="AT8" s="70">
        <f>AN8*0.7513*(111.175/119.425)</f>
        <v>3986576.7783127488</v>
      </c>
      <c r="AU8" s="70">
        <f>(AN8/1.395724)*(270.973/245.121)</f>
        <v>4514615.9237340009</v>
      </c>
      <c r="AV8" t="s">
        <v>2868</v>
      </c>
      <c r="AW8">
        <v>2021</v>
      </c>
      <c r="AX8" t="s">
        <v>1998</v>
      </c>
      <c r="AY8" t="s">
        <v>1999</v>
      </c>
      <c r="AZ8" t="s">
        <v>2011</v>
      </c>
      <c r="BA8" t="s">
        <v>139</v>
      </c>
      <c r="BB8" t="s">
        <v>2195</v>
      </c>
      <c r="BC8" t="s">
        <v>2195</v>
      </c>
      <c r="BD8" t="s">
        <v>2200</v>
      </c>
      <c r="BE8" t="s">
        <v>2000</v>
      </c>
      <c r="BF8" t="s">
        <v>2000</v>
      </c>
      <c r="BG8" t="s">
        <v>2908</v>
      </c>
      <c r="BI8" t="s">
        <v>2869</v>
      </c>
      <c r="BJ8" t="s">
        <v>2870</v>
      </c>
      <c r="BK8" t="s">
        <v>2931</v>
      </c>
      <c r="BL8" t="s">
        <v>2871</v>
      </c>
      <c r="BM8" s="66" t="s">
        <v>2872</v>
      </c>
      <c r="BN8" t="s">
        <v>1994</v>
      </c>
    </row>
    <row r="9" spans="1:66" ht="18.95" customHeight="1" x14ac:dyDescent="0.25">
      <c r="A9" t="s">
        <v>2979</v>
      </c>
      <c r="B9" t="s">
        <v>2016</v>
      </c>
      <c r="C9" t="s">
        <v>3050</v>
      </c>
      <c r="D9" t="s">
        <v>2874</v>
      </c>
      <c r="E9" t="s">
        <v>2865</v>
      </c>
      <c r="F9" t="s">
        <v>2873</v>
      </c>
      <c r="G9">
        <v>2023</v>
      </c>
      <c r="H9" t="s">
        <v>2140</v>
      </c>
      <c r="I9" t="s">
        <v>59</v>
      </c>
      <c r="J9" t="s">
        <v>2001</v>
      </c>
      <c r="K9" t="s">
        <v>2004</v>
      </c>
      <c r="L9" s="22" t="s">
        <v>1806</v>
      </c>
      <c r="M9" s="22" t="s">
        <v>862</v>
      </c>
      <c r="N9" s="22" t="s">
        <v>968</v>
      </c>
      <c r="O9" s="22" t="s">
        <v>1002</v>
      </c>
      <c r="P9" s="22" t="s">
        <v>1072</v>
      </c>
      <c r="Q9" s="22" t="s">
        <v>1073</v>
      </c>
      <c r="R9" s="22" t="s">
        <v>2866</v>
      </c>
      <c r="S9" s="46"/>
      <c r="T9" s="47" t="s">
        <v>2867</v>
      </c>
      <c r="U9" s="65" t="s">
        <v>1995</v>
      </c>
      <c r="V9" s="65" t="s">
        <v>1995</v>
      </c>
      <c r="W9" s="65" t="s">
        <v>2001</v>
      </c>
      <c r="X9" s="65" t="s">
        <v>2001</v>
      </c>
      <c r="Y9" s="65" t="s">
        <v>2935</v>
      </c>
      <c r="Z9" s="65" t="s">
        <v>1992</v>
      </c>
      <c r="AA9" s="65" t="s">
        <v>1992</v>
      </c>
      <c r="AB9" t="s">
        <v>1861</v>
      </c>
      <c r="AC9" s="36" t="s">
        <v>1865</v>
      </c>
      <c r="AD9" s="36" t="s">
        <v>2876</v>
      </c>
      <c r="AE9" s="36" t="s">
        <v>67</v>
      </c>
      <c r="AF9" s="36" t="s">
        <v>74</v>
      </c>
      <c r="AG9">
        <v>2021</v>
      </c>
      <c r="AH9" s="36" t="s">
        <v>2007</v>
      </c>
      <c r="AI9">
        <v>2021</v>
      </c>
      <c r="AJ9">
        <v>2021</v>
      </c>
      <c r="AK9" s="50">
        <v>2021</v>
      </c>
      <c r="AL9" s="50">
        <v>2021</v>
      </c>
      <c r="AM9" t="s">
        <v>2008</v>
      </c>
      <c r="AN9">
        <v>1700000</v>
      </c>
      <c r="AO9">
        <v>1000000</v>
      </c>
      <c r="AP9">
        <v>2000000</v>
      </c>
      <c r="AQ9" s="70">
        <f t="shared" ref="AQ9:AQ12" si="5">AN9*0.7513*(111.175/119.425)</f>
        <v>1188979.0391459076</v>
      </c>
      <c r="AR9" s="70">
        <f t="shared" ref="AR9:AR12" si="6">(AN9/1.395724)*(270.973/245.121)</f>
        <v>1346464.3983066317</v>
      </c>
      <c r="AS9" s="70">
        <f t="shared" si="2"/>
        <v>1700000</v>
      </c>
      <c r="AT9" s="70">
        <f t="shared" ref="AT9:AT12" si="7">AN9*0.7513*(111.175/119.425)</f>
        <v>1188979.0391459076</v>
      </c>
      <c r="AU9" s="70">
        <f t="shared" ref="AU9:AU12" si="8">(AN9/1.395724)*(270.973/245.121)</f>
        <v>1346464.3983066317</v>
      </c>
      <c r="AV9" t="s">
        <v>2868</v>
      </c>
      <c r="AW9">
        <v>2021</v>
      </c>
      <c r="AX9" t="s">
        <v>1998</v>
      </c>
      <c r="AY9" t="s">
        <v>1999</v>
      </c>
      <c r="AZ9" t="s">
        <v>2011</v>
      </c>
      <c r="BA9" t="s">
        <v>139</v>
      </c>
      <c r="BB9" t="s">
        <v>2195</v>
      </c>
      <c r="BC9" t="s">
        <v>2195</v>
      </c>
      <c r="BD9" t="s">
        <v>2200</v>
      </c>
      <c r="BE9" t="s">
        <v>2000</v>
      </c>
      <c r="BF9" t="s">
        <v>2000</v>
      </c>
      <c r="BG9" t="s">
        <v>2908</v>
      </c>
      <c r="BI9" t="s">
        <v>2869</v>
      </c>
      <c r="BJ9" t="s">
        <v>2870</v>
      </c>
      <c r="BK9" t="s">
        <v>2932</v>
      </c>
      <c r="BL9" t="s">
        <v>2871</v>
      </c>
      <c r="BM9" s="66" t="s">
        <v>2872</v>
      </c>
      <c r="BN9" t="s">
        <v>1994</v>
      </c>
    </row>
    <row r="10" spans="1:66" ht="18.95" customHeight="1" x14ac:dyDescent="0.25">
      <c r="A10" t="s">
        <v>2980</v>
      </c>
      <c r="B10" t="s">
        <v>2016</v>
      </c>
      <c r="C10" t="s">
        <v>3050</v>
      </c>
      <c r="D10" t="s">
        <v>2874</v>
      </c>
      <c r="E10" t="s">
        <v>2865</v>
      </c>
      <c r="F10" t="s">
        <v>2873</v>
      </c>
      <c r="G10">
        <v>2023</v>
      </c>
      <c r="H10" t="s">
        <v>2140</v>
      </c>
      <c r="I10" t="s">
        <v>59</v>
      </c>
      <c r="J10" t="s">
        <v>2001</v>
      </c>
      <c r="K10" t="s">
        <v>2004</v>
      </c>
      <c r="L10" s="22" t="s">
        <v>1806</v>
      </c>
      <c r="M10" s="22" t="s">
        <v>862</v>
      </c>
      <c r="N10" s="22" t="s">
        <v>968</v>
      </c>
      <c r="O10" s="22" t="s">
        <v>1002</v>
      </c>
      <c r="P10" s="22" t="s">
        <v>1072</v>
      </c>
      <c r="Q10" s="22" t="s">
        <v>1073</v>
      </c>
      <c r="R10" s="22" t="s">
        <v>2866</v>
      </c>
      <c r="S10" s="46"/>
      <c r="T10" s="47" t="s">
        <v>2867</v>
      </c>
      <c r="U10" s="65" t="s">
        <v>1995</v>
      </c>
      <c r="V10" s="65" t="s">
        <v>1995</v>
      </c>
      <c r="W10" s="65" t="s">
        <v>2001</v>
      </c>
      <c r="X10" s="65" t="s">
        <v>2001</v>
      </c>
      <c r="Y10" s="65" t="s">
        <v>2935</v>
      </c>
      <c r="Z10" s="65" t="s">
        <v>1992</v>
      </c>
      <c r="AA10" s="65" t="s">
        <v>1992</v>
      </c>
      <c r="AB10" t="s">
        <v>1861</v>
      </c>
      <c r="AC10" s="36" t="s">
        <v>1865</v>
      </c>
      <c r="AD10" s="36" t="s">
        <v>2877</v>
      </c>
      <c r="AE10" s="36" t="s">
        <v>67</v>
      </c>
      <c r="AF10" s="36" t="s">
        <v>74</v>
      </c>
      <c r="AG10">
        <v>2021</v>
      </c>
      <c r="AH10" s="36" t="s">
        <v>2007</v>
      </c>
      <c r="AI10">
        <v>2021</v>
      </c>
      <c r="AJ10">
        <v>2021</v>
      </c>
      <c r="AK10" s="50">
        <v>2021</v>
      </c>
      <c r="AL10" s="50">
        <v>2021</v>
      </c>
      <c r="AM10" t="s">
        <v>2008</v>
      </c>
      <c r="AN10">
        <v>5400000</v>
      </c>
      <c r="AO10"/>
      <c r="AP10">
        <v>10000000</v>
      </c>
      <c r="AQ10" s="70">
        <f t="shared" si="5"/>
        <v>3776756.9478752357</v>
      </c>
      <c r="AR10" s="70">
        <f t="shared" si="6"/>
        <v>4277004.5593269477</v>
      </c>
      <c r="AS10" s="70">
        <f t="shared" si="2"/>
        <v>5400000</v>
      </c>
      <c r="AT10" s="70">
        <f t="shared" si="7"/>
        <v>3776756.9478752357</v>
      </c>
      <c r="AU10" s="70">
        <f t="shared" si="8"/>
        <v>4277004.5593269477</v>
      </c>
      <c r="AV10" t="s">
        <v>2868</v>
      </c>
      <c r="AW10">
        <v>2021</v>
      </c>
      <c r="AX10" t="s">
        <v>1998</v>
      </c>
      <c r="AY10" t="s">
        <v>1999</v>
      </c>
      <c r="AZ10" t="s">
        <v>2011</v>
      </c>
      <c r="BA10" t="s">
        <v>139</v>
      </c>
      <c r="BB10" t="s">
        <v>2195</v>
      </c>
      <c r="BC10" t="s">
        <v>2195</v>
      </c>
      <c r="BD10" t="s">
        <v>2200</v>
      </c>
      <c r="BE10" t="s">
        <v>2000</v>
      </c>
      <c r="BF10" t="s">
        <v>2000</v>
      </c>
      <c r="BG10" t="s">
        <v>2908</v>
      </c>
      <c r="BI10" t="s">
        <v>2869</v>
      </c>
      <c r="BJ10" t="s">
        <v>2870</v>
      </c>
      <c r="BK10" t="s">
        <v>2933</v>
      </c>
      <c r="BL10" t="s">
        <v>2871</v>
      </c>
      <c r="BM10" s="66" t="s">
        <v>2872</v>
      </c>
      <c r="BN10" t="s">
        <v>1994</v>
      </c>
    </row>
    <row r="11" spans="1:66" ht="18.95" customHeight="1" x14ac:dyDescent="0.25">
      <c r="A11" t="s">
        <v>2993</v>
      </c>
      <c r="B11" t="s">
        <v>2016</v>
      </c>
      <c r="C11" t="s">
        <v>3050</v>
      </c>
      <c r="D11" t="s">
        <v>2874</v>
      </c>
      <c r="E11" t="s">
        <v>2865</v>
      </c>
      <c r="F11" t="s">
        <v>2873</v>
      </c>
      <c r="G11">
        <v>2023</v>
      </c>
      <c r="H11" t="s">
        <v>2140</v>
      </c>
      <c r="I11" t="s">
        <v>59</v>
      </c>
      <c r="J11" t="s">
        <v>2001</v>
      </c>
      <c r="K11" t="s">
        <v>2004</v>
      </c>
      <c r="L11" s="22" t="s">
        <v>1806</v>
      </c>
      <c r="M11" s="22" t="s">
        <v>862</v>
      </c>
      <c r="N11" s="22" t="s">
        <v>968</v>
      </c>
      <c r="O11" s="22" t="s">
        <v>1002</v>
      </c>
      <c r="P11" s="22" t="s">
        <v>1072</v>
      </c>
      <c r="Q11" s="22" t="s">
        <v>1073</v>
      </c>
      <c r="R11" s="22" t="s">
        <v>2866</v>
      </c>
      <c r="S11" s="46"/>
      <c r="T11" s="47" t="s">
        <v>2867</v>
      </c>
      <c r="U11" s="65" t="s">
        <v>1995</v>
      </c>
      <c r="V11" s="65" t="s">
        <v>1995</v>
      </c>
      <c r="W11" s="65" t="s">
        <v>2001</v>
      </c>
      <c r="X11" s="65" t="s">
        <v>2001</v>
      </c>
      <c r="Y11" s="65" t="s">
        <v>2935</v>
      </c>
      <c r="Z11" s="65" t="s">
        <v>1992</v>
      </c>
      <c r="AA11" s="65" t="s">
        <v>1992</v>
      </c>
      <c r="AB11" t="s">
        <v>1861</v>
      </c>
      <c r="AC11" s="36" t="s">
        <v>1865</v>
      </c>
      <c r="AD11" s="36" t="s">
        <v>2001</v>
      </c>
      <c r="AE11" s="36" t="s">
        <v>67</v>
      </c>
      <c r="AF11" s="36" t="s">
        <v>75</v>
      </c>
      <c r="AG11">
        <v>2021</v>
      </c>
      <c r="AH11" s="36" t="s">
        <v>2007</v>
      </c>
      <c r="AI11">
        <v>2021</v>
      </c>
      <c r="AJ11">
        <v>2021</v>
      </c>
      <c r="AK11" s="50">
        <v>2021</v>
      </c>
      <c r="AL11" s="50">
        <v>2021</v>
      </c>
      <c r="AM11" t="s">
        <v>2008</v>
      </c>
      <c r="AN11">
        <v>3000000</v>
      </c>
      <c r="AO11"/>
      <c r="AP11"/>
      <c r="AQ11" s="70">
        <f t="shared" si="5"/>
        <v>2098198.3043751311</v>
      </c>
      <c r="AR11" s="70">
        <f t="shared" si="6"/>
        <v>2376113.6440705266</v>
      </c>
      <c r="AS11" s="70">
        <f t="shared" si="2"/>
        <v>3000000</v>
      </c>
      <c r="AT11" s="70">
        <f t="shared" si="7"/>
        <v>2098198.3043751311</v>
      </c>
      <c r="AU11" s="70">
        <f t="shared" si="8"/>
        <v>2376113.6440705266</v>
      </c>
      <c r="AV11" t="s">
        <v>2868</v>
      </c>
      <c r="AW11">
        <v>2021</v>
      </c>
      <c r="AX11" t="s">
        <v>1998</v>
      </c>
      <c r="AY11" t="s">
        <v>1999</v>
      </c>
      <c r="AZ11" t="s">
        <v>2011</v>
      </c>
      <c r="BA11" t="s">
        <v>139</v>
      </c>
      <c r="BB11" t="s">
        <v>2195</v>
      </c>
      <c r="BC11" t="s">
        <v>2195</v>
      </c>
      <c r="BD11" t="s">
        <v>2200</v>
      </c>
      <c r="BE11" t="s">
        <v>2000</v>
      </c>
      <c r="BF11" t="s">
        <v>2000</v>
      </c>
      <c r="BG11" t="s">
        <v>2908</v>
      </c>
      <c r="BI11" t="s">
        <v>2869</v>
      </c>
      <c r="BJ11" t="s">
        <v>2870</v>
      </c>
      <c r="BK11" t="s">
        <v>2934</v>
      </c>
      <c r="BL11" t="s">
        <v>2871</v>
      </c>
      <c r="BM11" s="66" t="s">
        <v>2872</v>
      </c>
      <c r="BN11" t="s">
        <v>1994</v>
      </c>
    </row>
    <row r="12" spans="1:66" ht="18.95" customHeight="1" x14ac:dyDescent="0.25">
      <c r="A12" t="s">
        <v>2994</v>
      </c>
      <c r="B12" t="s">
        <v>2016</v>
      </c>
      <c r="C12" t="s">
        <v>3050</v>
      </c>
      <c r="D12" t="s">
        <v>2874</v>
      </c>
      <c r="E12" t="s">
        <v>2865</v>
      </c>
      <c r="F12" t="s">
        <v>2873</v>
      </c>
      <c r="G12">
        <v>2023</v>
      </c>
      <c r="H12" t="s">
        <v>2140</v>
      </c>
      <c r="I12" t="s">
        <v>59</v>
      </c>
      <c r="J12" t="s">
        <v>2001</v>
      </c>
      <c r="K12" t="s">
        <v>2004</v>
      </c>
      <c r="L12" s="22" t="s">
        <v>1806</v>
      </c>
      <c r="M12" s="22" t="s">
        <v>862</v>
      </c>
      <c r="N12" s="22" t="s">
        <v>968</v>
      </c>
      <c r="O12" s="22" t="s">
        <v>1002</v>
      </c>
      <c r="P12" s="22" t="s">
        <v>1072</v>
      </c>
      <c r="Q12" s="22" t="s">
        <v>1073</v>
      </c>
      <c r="R12" s="22" t="s">
        <v>2866</v>
      </c>
      <c r="S12" s="46"/>
      <c r="T12" s="47" t="s">
        <v>2867</v>
      </c>
      <c r="U12" s="65" t="s">
        <v>1995</v>
      </c>
      <c r="V12" s="65" t="s">
        <v>1995</v>
      </c>
      <c r="W12" s="65" t="s">
        <v>2001</v>
      </c>
      <c r="X12" s="65" t="s">
        <v>2001</v>
      </c>
      <c r="Y12" s="65" t="s">
        <v>2935</v>
      </c>
      <c r="Z12" s="65" t="s">
        <v>1992</v>
      </c>
      <c r="AA12" s="65" t="s">
        <v>1992</v>
      </c>
      <c r="AB12" t="s">
        <v>1861</v>
      </c>
      <c r="AC12" s="36" t="s">
        <v>1865</v>
      </c>
      <c r="AD12" s="36" t="s">
        <v>2001</v>
      </c>
      <c r="AE12" s="36" t="s">
        <v>67</v>
      </c>
      <c r="AF12" s="36" t="s">
        <v>75</v>
      </c>
      <c r="AG12">
        <v>2021</v>
      </c>
      <c r="AH12" s="36" t="s">
        <v>2007</v>
      </c>
      <c r="AI12">
        <v>2021</v>
      </c>
      <c r="AJ12">
        <v>2021</v>
      </c>
      <c r="AK12" s="50">
        <v>2021</v>
      </c>
      <c r="AL12" s="50">
        <v>2021</v>
      </c>
      <c r="AM12" t="s">
        <v>2008</v>
      </c>
      <c r="AN12">
        <v>2000000</v>
      </c>
      <c r="AO12"/>
      <c r="AP12">
        <v>5000000</v>
      </c>
      <c r="AQ12" s="70">
        <f t="shared" si="5"/>
        <v>1398798.8695834207</v>
      </c>
      <c r="AR12" s="70">
        <f t="shared" si="6"/>
        <v>1584075.7627136845</v>
      </c>
      <c r="AS12" s="70">
        <f t="shared" si="2"/>
        <v>2000000</v>
      </c>
      <c r="AT12" s="70">
        <f t="shared" si="7"/>
        <v>1398798.8695834207</v>
      </c>
      <c r="AU12" s="70">
        <f t="shared" si="8"/>
        <v>1584075.7627136845</v>
      </c>
      <c r="AV12" t="s">
        <v>2868</v>
      </c>
      <c r="AW12">
        <v>2021</v>
      </c>
      <c r="AX12" t="s">
        <v>1998</v>
      </c>
      <c r="AY12" t="s">
        <v>1999</v>
      </c>
      <c r="AZ12" t="s">
        <v>2011</v>
      </c>
      <c r="BA12" t="s">
        <v>139</v>
      </c>
      <c r="BB12" t="s">
        <v>2195</v>
      </c>
      <c r="BC12" t="s">
        <v>2195</v>
      </c>
      <c r="BD12" t="s">
        <v>2200</v>
      </c>
      <c r="BE12" t="s">
        <v>2000</v>
      </c>
      <c r="BF12" t="s">
        <v>2000</v>
      </c>
      <c r="BG12" t="s">
        <v>2908</v>
      </c>
      <c r="BI12" t="s">
        <v>2869</v>
      </c>
      <c r="BJ12" t="s">
        <v>2870</v>
      </c>
      <c r="BK12" t="s">
        <v>2908</v>
      </c>
      <c r="BL12" t="s">
        <v>2871</v>
      </c>
      <c r="BM12" s="66" t="s">
        <v>2872</v>
      </c>
      <c r="BN12" t="s">
        <v>1994</v>
      </c>
    </row>
    <row r="13" spans="1:66" ht="18.95" customHeight="1" x14ac:dyDescent="0.25">
      <c r="A13" t="s">
        <v>2981</v>
      </c>
      <c r="B13" t="s">
        <v>2016</v>
      </c>
      <c r="C13" s="67" t="s">
        <v>3051</v>
      </c>
      <c r="D13" s="103" t="s">
        <v>3015</v>
      </c>
      <c r="E13" s="103" t="s">
        <v>2881</v>
      </c>
      <c r="F13" s="103" t="s">
        <v>2880</v>
      </c>
      <c r="G13">
        <v>2023</v>
      </c>
      <c r="H13" s="67" t="s">
        <v>2140</v>
      </c>
      <c r="I13" t="s">
        <v>61</v>
      </c>
      <c r="J13" t="s">
        <v>2001</v>
      </c>
      <c r="K13" t="s">
        <v>2004</v>
      </c>
      <c r="L13" s="22" t="s">
        <v>1806</v>
      </c>
      <c r="M13" s="22" t="s">
        <v>862</v>
      </c>
      <c r="N13" s="22" t="s">
        <v>968</v>
      </c>
      <c r="O13" s="22" t="s">
        <v>1002</v>
      </c>
      <c r="P13" s="22" t="s">
        <v>1072</v>
      </c>
      <c r="Q13" s="22" t="s">
        <v>1073</v>
      </c>
      <c r="R13" s="22" t="s">
        <v>2866</v>
      </c>
      <c r="S13" s="46"/>
      <c r="T13" s="47" t="s">
        <v>2867</v>
      </c>
      <c r="U13" s="65" t="s">
        <v>1995</v>
      </c>
      <c r="V13" s="65" t="s">
        <v>1995</v>
      </c>
      <c r="W13" s="65" t="s">
        <v>2001</v>
      </c>
      <c r="X13" s="65" t="s">
        <v>2001</v>
      </c>
      <c r="Y13" s="65" t="s">
        <v>2935</v>
      </c>
      <c r="Z13" s="65" t="s">
        <v>1992</v>
      </c>
      <c r="AA13" s="65" t="s">
        <v>1992</v>
      </c>
      <c r="AB13" t="s">
        <v>1861</v>
      </c>
      <c r="AC13" s="36" t="s">
        <v>1865</v>
      </c>
      <c r="AD13" s="36" t="s">
        <v>2879</v>
      </c>
      <c r="AE13" s="36" t="s">
        <v>2938</v>
      </c>
      <c r="AF13" s="36" t="s">
        <v>2939</v>
      </c>
      <c r="AG13" t="s">
        <v>2878</v>
      </c>
      <c r="AH13" s="36" t="s">
        <v>2007</v>
      </c>
      <c r="AI13">
        <v>2022</v>
      </c>
      <c r="AJ13">
        <v>2022</v>
      </c>
      <c r="AK13" s="50">
        <v>2022</v>
      </c>
      <c r="AL13" s="50">
        <v>2022</v>
      </c>
      <c r="AM13" t="s">
        <v>1997</v>
      </c>
      <c r="AN13">
        <v>130149</v>
      </c>
      <c r="AO13"/>
      <c r="AP13"/>
      <c r="AQ13" s="70">
        <f>AN13*0.6947*(111.175/127.3)</f>
        <v>78961.768912824031</v>
      </c>
      <c r="AR13" s="70">
        <f>(AN13/1.358727)*(292.626/245.121)</f>
        <v>114351.2775805519</v>
      </c>
      <c r="AS13" s="70">
        <f t="shared" si="2"/>
        <v>130149</v>
      </c>
      <c r="AT13" s="70">
        <f>AN13*0.6947*(111.175/127.3)</f>
        <v>78961.768912824031</v>
      </c>
      <c r="AU13" s="70">
        <f>(AN13/1.358727)*(292.626/245.121)</f>
        <v>114351.2775805519</v>
      </c>
      <c r="AV13" t="s">
        <v>2868</v>
      </c>
      <c r="AW13">
        <v>2022</v>
      </c>
      <c r="AX13" t="s">
        <v>1998</v>
      </c>
      <c r="AY13" t="s">
        <v>1999</v>
      </c>
      <c r="AZ13" t="s">
        <v>2011</v>
      </c>
      <c r="BA13" t="s">
        <v>140</v>
      </c>
      <c r="BB13" t="s">
        <v>2195</v>
      </c>
      <c r="BC13" t="s">
        <v>2195</v>
      </c>
      <c r="BD13" t="s">
        <v>2200</v>
      </c>
      <c r="BE13" t="s">
        <v>2000</v>
      </c>
      <c r="BF13" t="s">
        <v>2000</v>
      </c>
      <c r="BG13" s="92" t="s">
        <v>2955</v>
      </c>
      <c r="BI13" s="79" t="s">
        <v>2869</v>
      </c>
      <c r="BJ13" s="79" t="s">
        <v>2870</v>
      </c>
      <c r="BK13" s="68" t="s">
        <v>2925</v>
      </c>
      <c r="BL13" s="79" t="s">
        <v>2871</v>
      </c>
      <c r="BM13" s="66" t="s">
        <v>2872</v>
      </c>
      <c r="BN13" t="s">
        <v>1994</v>
      </c>
    </row>
    <row r="14" spans="1:66" ht="18.95" customHeight="1" x14ac:dyDescent="0.25">
      <c r="A14" t="s">
        <v>2982</v>
      </c>
      <c r="B14" t="s">
        <v>2016</v>
      </c>
      <c r="C14" s="67" t="s">
        <v>3052</v>
      </c>
      <c r="D14" s="103" t="s">
        <v>3015</v>
      </c>
      <c r="E14" s="103" t="s">
        <v>2881</v>
      </c>
      <c r="F14" s="103" t="s">
        <v>2880</v>
      </c>
      <c r="G14">
        <v>2023</v>
      </c>
      <c r="H14" s="67" t="s">
        <v>2140</v>
      </c>
      <c r="I14" t="s">
        <v>61</v>
      </c>
      <c r="J14" t="s">
        <v>2001</v>
      </c>
      <c r="K14" t="s">
        <v>2004</v>
      </c>
      <c r="L14" s="22" t="s">
        <v>1806</v>
      </c>
      <c r="M14" s="22" t="s">
        <v>862</v>
      </c>
      <c r="N14" s="22" t="s">
        <v>968</v>
      </c>
      <c r="O14" s="22" t="s">
        <v>1002</v>
      </c>
      <c r="P14" s="22" t="s">
        <v>1072</v>
      </c>
      <c r="Q14" s="22" t="s">
        <v>1073</v>
      </c>
      <c r="R14" s="22" t="s">
        <v>2866</v>
      </c>
      <c r="S14" s="46"/>
      <c r="T14" s="47" t="s">
        <v>2867</v>
      </c>
      <c r="U14" s="65" t="s">
        <v>1995</v>
      </c>
      <c r="V14" s="65" t="s">
        <v>1995</v>
      </c>
      <c r="W14" s="65" t="s">
        <v>2001</v>
      </c>
      <c r="X14" s="65" t="s">
        <v>2001</v>
      </c>
      <c r="Y14" s="65" t="s">
        <v>2935</v>
      </c>
      <c r="Z14" s="65" t="s">
        <v>1992</v>
      </c>
      <c r="AA14" s="65" t="s">
        <v>1992</v>
      </c>
      <c r="AB14" t="s">
        <v>1861</v>
      </c>
      <c r="AC14" s="36" t="s">
        <v>1865</v>
      </c>
      <c r="AD14" s="36" t="s">
        <v>2879</v>
      </c>
      <c r="AE14" s="36" t="s">
        <v>2940</v>
      </c>
      <c r="AF14" s="36" t="s">
        <v>2941</v>
      </c>
      <c r="AG14" t="s">
        <v>2878</v>
      </c>
      <c r="AH14" s="36" t="s">
        <v>2007</v>
      </c>
      <c r="AI14">
        <v>2022</v>
      </c>
      <c r="AJ14">
        <v>2022</v>
      </c>
      <c r="AK14" s="50">
        <v>2022</v>
      </c>
      <c r="AL14" s="50">
        <v>2022</v>
      </c>
      <c r="AM14" t="s">
        <v>1997</v>
      </c>
      <c r="AN14">
        <v>83777</v>
      </c>
      <c r="AO14"/>
      <c r="AP14"/>
      <c r="AQ14" s="70">
        <f t="shared" ref="AQ14:AQ23" si="9">AN14*0.6947*(111.175/127.3)</f>
        <v>50827.744463727417</v>
      </c>
      <c r="AR14" s="70">
        <f t="shared" ref="AR14:AR23" si="10">(AN14/1.358727)*(292.626/245.121)</f>
        <v>73607.995312033876</v>
      </c>
      <c r="AS14" s="70">
        <f t="shared" si="2"/>
        <v>83777</v>
      </c>
      <c r="AT14" s="70">
        <f t="shared" ref="AT14:AT23" si="11">AN14*0.6947*(111.175/127.3)</f>
        <v>50827.744463727417</v>
      </c>
      <c r="AU14" s="70">
        <f t="shared" ref="AU14:AU23" si="12">(AN14/1.358727)*(292.626/245.121)</f>
        <v>73607.995312033876</v>
      </c>
      <c r="AV14" t="s">
        <v>2868</v>
      </c>
      <c r="AW14">
        <v>2022</v>
      </c>
      <c r="AX14" t="s">
        <v>1998</v>
      </c>
      <c r="AY14" t="s">
        <v>1999</v>
      </c>
      <c r="AZ14" t="s">
        <v>2011</v>
      </c>
      <c r="BA14" t="s">
        <v>140</v>
      </c>
      <c r="BB14" t="s">
        <v>2195</v>
      </c>
      <c r="BC14" t="s">
        <v>2195</v>
      </c>
      <c r="BD14" t="s">
        <v>2200</v>
      </c>
      <c r="BE14" t="s">
        <v>2000</v>
      </c>
      <c r="BF14" t="s">
        <v>2000</v>
      </c>
      <c r="BG14" s="92" t="s">
        <v>2955</v>
      </c>
      <c r="BI14" s="79" t="s">
        <v>2869</v>
      </c>
      <c r="BJ14" s="79" t="s">
        <v>2870</v>
      </c>
      <c r="BK14" s="68" t="s">
        <v>2925</v>
      </c>
      <c r="BL14" s="79" t="s">
        <v>2871</v>
      </c>
      <c r="BM14" s="66" t="s">
        <v>2872</v>
      </c>
      <c r="BN14" t="s">
        <v>1994</v>
      </c>
    </row>
    <row r="15" spans="1:66" ht="18.95" customHeight="1" x14ac:dyDescent="0.25">
      <c r="A15" t="s">
        <v>2983</v>
      </c>
      <c r="B15" t="s">
        <v>2016</v>
      </c>
      <c r="C15" s="67" t="s">
        <v>3053</v>
      </c>
      <c r="D15" s="103" t="s">
        <v>3015</v>
      </c>
      <c r="E15" s="103" t="s">
        <v>2881</v>
      </c>
      <c r="F15" s="103" t="s">
        <v>2880</v>
      </c>
      <c r="G15">
        <v>2023</v>
      </c>
      <c r="H15" s="67" t="s">
        <v>2140</v>
      </c>
      <c r="I15" t="s">
        <v>61</v>
      </c>
      <c r="J15" t="s">
        <v>2001</v>
      </c>
      <c r="K15" t="s">
        <v>2004</v>
      </c>
      <c r="L15" s="22" t="s">
        <v>1806</v>
      </c>
      <c r="M15" s="22" t="s">
        <v>862</v>
      </c>
      <c r="N15" s="22" t="s">
        <v>968</v>
      </c>
      <c r="O15" s="22" t="s">
        <v>1002</v>
      </c>
      <c r="P15" s="22" t="s">
        <v>1072</v>
      </c>
      <c r="Q15" s="22" t="s">
        <v>1073</v>
      </c>
      <c r="R15" s="22" t="s">
        <v>344</v>
      </c>
      <c r="S15" s="46"/>
      <c r="T15" s="47" t="s">
        <v>2936</v>
      </c>
      <c r="U15" s="65" t="s">
        <v>1995</v>
      </c>
      <c r="V15" s="65" t="s">
        <v>1995</v>
      </c>
      <c r="W15" s="65" t="s">
        <v>2001</v>
      </c>
      <c r="X15" s="65" t="s">
        <v>2001</v>
      </c>
      <c r="Y15" s="65" t="s">
        <v>2935</v>
      </c>
      <c r="Z15" s="65" t="s">
        <v>1992</v>
      </c>
      <c r="AA15" s="65" t="s">
        <v>1992</v>
      </c>
      <c r="AB15" t="s">
        <v>1861</v>
      </c>
      <c r="AC15" s="36" t="s">
        <v>1865</v>
      </c>
      <c r="AD15" s="36" t="s">
        <v>2879</v>
      </c>
      <c r="AE15" s="36" t="s">
        <v>2942</v>
      </c>
      <c r="AF15" s="36" t="s">
        <v>2943</v>
      </c>
      <c r="AG15" t="s">
        <v>2878</v>
      </c>
      <c r="AH15" s="36" t="s">
        <v>2007</v>
      </c>
      <c r="AI15">
        <v>2022</v>
      </c>
      <c r="AJ15">
        <v>2022</v>
      </c>
      <c r="AK15" s="50">
        <v>2022</v>
      </c>
      <c r="AL15" s="50">
        <v>2022</v>
      </c>
      <c r="AM15" t="s">
        <v>1997</v>
      </c>
      <c r="AN15">
        <v>87190</v>
      </c>
      <c r="AO15"/>
      <c r="AP15"/>
      <c r="AQ15" s="70">
        <f t="shared" si="9"/>
        <v>52898.421282600153</v>
      </c>
      <c r="AR15" s="70">
        <f t="shared" si="10"/>
        <v>76606.719162254958</v>
      </c>
      <c r="AS15" s="70">
        <f t="shared" si="2"/>
        <v>87190</v>
      </c>
      <c r="AT15" s="70">
        <f t="shared" si="11"/>
        <v>52898.421282600153</v>
      </c>
      <c r="AU15" s="70">
        <f t="shared" si="12"/>
        <v>76606.719162254958</v>
      </c>
      <c r="AV15" t="s">
        <v>2868</v>
      </c>
      <c r="AW15">
        <v>2022</v>
      </c>
      <c r="AX15" t="s">
        <v>1998</v>
      </c>
      <c r="AY15" t="s">
        <v>1999</v>
      </c>
      <c r="AZ15" t="s">
        <v>2011</v>
      </c>
      <c r="BA15" t="s">
        <v>140</v>
      </c>
      <c r="BB15" t="s">
        <v>2195</v>
      </c>
      <c r="BC15" t="s">
        <v>2195</v>
      </c>
      <c r="BD15" t="s">
        <v>2200</v>
      </c>
      <c r="BE15" t="s">
        <v>2000</v>
      </c>
      <c r="BF15" t="s">
        <v>2000</v>
      </c>
      <c r="BG15" s="92" t="s">
        <v>2955</v>
      </c>
      <c r="BI15" s="79" t="s">
        <v>2869</v>
      </c>
      <c r="BJ15" s="79" t="s">
        <v>2870</v>
      </c>
      <c r="BK15" s="68" t="s">
        <v>2925</v>
      </c>
      <c r="BL15" s="79" t="s">
        <v>2871</v>
      </c>
      <c r="BM15" s="66" t="s">
        <v>2872</v>
      </c>
      <c r="BN15" t="s">
        <v>1994</v>
      </c>
    </row>
    <row r="16" spans="1:66" ht="18.95" customHeight="1" x14ac:dyDescent="0.25">
      <c r="A16" t="s">
        <v>2984</v>
      </c>
      <c r="B16" t="s">
        <v>2016</v>
      </c>
      <c r="C16" s="67" t="s">
        <v>3054</v>
      </c>
      <c r="D16" s="103" t="s">
        <v>3015</v>
      </c>
      <c r="E16" s="103" t="s">
        <v>2881</v>
      </c>
      <c r="F16" s="103" t="s">
        <v>2880</v>
      </c>
      <c r="G16">
        <v>2023</v>
      </c>
      <c r="H16" s="67" t="s">
        <v>2140</v>
      </c>
      <c r="I16" t="s">
        <v>61</v>
      </c>
      <c r="J16" t="s">
        <v>2001</v>
      </c>
      <c r="K16" t="s">
        <v>2004</v>
      </c>
      <c r="L16" s="22" t="s">
        <v>1806</v>
      </c>
      <c r="M16" s="22" t="s">
        <v>862</v>
      </c>
      <c r="N16" s="22" t="s">
        <v>968</v>
      </c>
      <c r="O16" s="22" t="s">
        <v>1002</v>
      </c>
      <c r="P16" s="22" t="s">
        <v>1072</v>
      </c>
      <c r="Q16" s="22" t="s">
        <v>1073</v>
      </c>
      <c r="R16" s="22" t="s">
        <v>344</v>
      </c>
      <c r="S16" s="46"/>
      <c r="T16" s="47" t="s">
        <v>2936</v>
      </c>
      <c r="U16" s="65" t="s">
        <v>1995</v>
      </c>
      <c r="V16" s="65" t="s">
        <v>1995</v>
      </c>
      <c r="W16" s="65" t="s">
        <v>2001</v>
      </c>
      <c r="X16" s="65" t="s">
        <v>2001</v>
      </c>
      <c r="Y16" s="65" t="s">
        <v>2935</v>
      </c>
      <c r="Z16" s="65" t="s">
        <v>1992</v>
      </c>
      <c r="AA16" s="65" t="s">
        <v>1992</v>
      </c>
      <c r="AB16" t="s">
        <v>1861</v>
      </c>
      <c r="AC16" s="36" t="s">
        <v>1865</v>
      </c>
      <c r="AD16" s="36" t="s">
        <v>2879</v>
      </c>
      <c r="AE16" s="36" t="s">
        <v>2942</v>
      </c>
      <c r="AF16" s="36" t="s">
        <v>2944</v>
      </c>
      <c r="AG16" t="s">
        <v>2878</v>
      </c>
      <c r="AH16" s="36" t="s">
        <v>2007</v>
      </c>
      <c r="AI16">
        <v>2022</v>
      </c>
      <c r="AJ16">
        <v>2022</v>
      </c>
      <c r="AK16" s="50">
        <v>2022</v>
      </c>
      <c r="AL16" s="50">
        <v>2022</v>
      </c>
      <c r="AM16" t="s">
        <v>1997</v>
      </c>
      <c r="AN16">
        <v>47160</v>
      </c>
      <c r="AO16"/>
      <c r="AP16"/>
      <c r="AQ16" s="70">
        <f t="shared" si="9"/>
        <v>28612.106293008641</v>
      </c>
      <c r="AR16" s="70">
        <f t="shared" si="10"/>
        <v>41435.633394792334</v>
      </c>
      <c r="AS16" s="70">
        <f t="shared" si="2"/>
        <v>47160</v>
      </c>
      <c r="AT16" s="70">
        <f t="shared" si="11"/>
        <v>28612.106293008641</v>
      </c>
      <c r="AU16" s="70">
        <f t="shared" si="12"/>
        <v>41435.633394792334</v>
      </c>
      <c r="AV16" t="s">
        <v>2868</v>
      </c>
      <c r="AW16">
        <v>2022</v>
      </c>
      <c r="AX16" t="s">
        <v>1998</v>
      </c>
      <c r="AY16" t="s">
        <v>1999</v>
      </c>
      <c r="AZ16" t="s">
        <v>2011</v>
      </c>
      <c r="BA16" t="s">
        <v>140</v>
      </c>
      <c r="BB16" t="s">
        <v>2195</v>
      </c>
      <c r="BC16" t="s">
        <v>2195</v>
      </c>
      <c r="BD16" t="s">
        <v>2200</v>
      </c>
      <c r="BE16" t="s">
        <v>2000</v>
      </c>
      <c r="BF16" t="s">
        <v>2000</v>
      </c>
      <c r="BG16" s="92" t="s">
        <v>2955</v>
      </c>
      <c r="BI16" s="79" t="s">
        <v>2869</v>
      </c>
      <c r="BJ16" s="79" t="s">
        <v>2870</v>
      </c>
      <c r="BK16" s="68" t="s">
        <v>2925</v>
      </c>
      <c r="BL16" s="79" t="s">
        <v>2871</v>
      </c>
      <c r="BM16" s="66" t="s">
        <v>2872</v>
      </c>
      <c r="BN16" t="s">
        <v>1994</v>
      </c>
    </row>
    <row r="17" spans="1:66" ht="18.95" customHeight="1" x14ac:dyDescent="0.25">
      <c r="A17" t="s">
        <v>2985</v>
      </c>
      <c r="B17" t="s">
        <v>2016</v>
      </c>
      <c r="C17" s="67" t="s">
        <v>3055</v>
      </c>
      <c r="D17" s="103" t="s">
        <v>3015</v>
      </c>
      <c r="E17" s="103" t="s">
        <v>2881</v>
      </c>
      <c r="F17" s="104" t="s">
        <v>2880</v>
      </c>
      <c r="G17" s="93">
        <v>2023</v>
      </c>
      <c r="H17" s="67" t="s">
        <v>2140</v>
      </c>
      <c r="I17" t="s">
        <v>61</v>
      </c>
      <c r="J17" t="s">
        <v>2001</v>
      </c>
      <c r="K17" t="s">
        <v>2004</v>
      </c>
      <c r="L17" s="22" t="s">
        <v>1806</v>
      </c>
      <c r="M17" s="22" t="s">
        <v>862</v>
      </c>
      <c r="N17" s="22" t="s">
        <v>968</v>
      </c>
      <c r="O17" s="22" t="s">
        <v>1002</v>
      </c>
      <c r="P17" s="22" t="s">
        <v>1072</v>
      </c>
      <c r="Q17" s="22" t="s">
        <v>1073</v>
      </c>
      <c r="R17" s="22" t="s">
        <v>344</v>
      </c>
      <c r="S17" s="46"/>
      <c r="T17" s="47" t="s">
        <v>2936</v>
      </c>
      <c r="U17" s="65" t="s">
        <v>1995</v>
      </c>
      <c r="V17" s="65" t="s">
        <v>1995</v>
      </c>
      <c r="W17" s="65" t="s">
        <v>2001</v>
      </c>
      <c r="X17" s="65" t="s">
        <v>2001</v>
      </c>
      <c r="Y17" s="65" t="s">
        <v>2935</v>
      </c>
      <c r="Z17" s="65" t="s">
        <v>1992</v>
      </c>
      <c r="AA17" s="65" t="s">
        <v>1992</v>
      </c>
      <c r="AB17" t="s">
        <v>1861</v>
      </c>
      <c r="AC17" s="36" t="s">
        <v>1865</v>
      </c>
      <c r="AD17" s="36" t="s">
        <v>2879</v>
      </c>
      <c r="AE17" s="36" t="s">
        <v>2942</v>
      </c>
      <c r="AF17" s="36" t="s">
        <v>2941</v>
      </c>
      <c r="AG17" t="s">
        <v>2878</v>
      </c>
      <c r="AH17" s="36" t="s">
        <v>2007</v>
      </c>
      <c r="AI17">
        <v>2022</v>
      </c>
      <c r="AJ17">
        <v>2022</v>
      </c>
      <c r="AK17" s="50">
        <v>2022</v>
      </c>
      <c r="AL17" s="50">
        <v>2022</v>
      </c>
      <c r="AM17" t="s">
        <v>1997</v>
      </c>
      <c r="AN17">
        <v>135816</v>
      </c>
      <c r="AO17"/>
      <c r="AP17"/>
      <c r="AQ17" s="70">
        <f t="shared" si="9"/>
        <v>82399.953950196388</v>
      </c>
      <c r="AR17" s="70">
        <f t="shared" si="10"/>
        <v>119330.40680973527</v>
      </c>
      <c r="AS17" s="70">
        <f t="shared" si="2"/>
        <v>135816</v>
      </c>
      <c r="AT17" s="70">
        <f t="shared" si="11"/>
        <v>82399.953950196388</v>
      </c>
      <c r="AU17" s="70">
        <f t="shared" si="12"/>
        <v>119330.40680973527</v>
      </c>
      <c r="AV17" t="s">
        <v>2868</v>
      </c>
      <c r="AW17">
        <v>2022</v>
      </c>
      <c r="AX17" t="s">
        <v>1998</v>
      </c>
      <c r="AY17" t="s">
        <v>1999</v>
      </c>
      <c r="AZ17" t="s">
        <v>2011</v>
      </c>
      <c r="BA17" t="s">
        <v>140</v>
      </c>
      <c r="BB17" t="s">
        <v>2195</v>
      </c>
      <c r="BC17" t="s">
        <v>2195</v>
      </c>
      <c r="BD17" t="s">
        <v>2200</v>
      </c>
      <c r="BE17" t="s">
        <v>2000</v>
      </c>
      <c r="BF17" t="s">
        <v>2000</v>
      </c>
      <c r="BG17" s="92" t="s">
        <v>2955</v>
      </c>
      <c r="BI17" s="79" t="s">
        <v>2869</v>
      </c>
      <c r="BJ17" s="79" t="s">
        <v>2870</v>
      </c>
      <c r="BK17" s="68" t="s">
        <v>2925</v>
      </c>
      <c r="BL17" s="79" t="s">
        <v>2871</v>
      </c>
      <c r="BM17" s="66" t="s">
        <v>2872</v>
      </c>
      <c r="BN17" t="s">
        <v>1994</v>
      </c>
    </row>
    <row r="18" spans="1:66" ht="18.95" customHeight="1" x14ac:dyDescent="0.25">
      <c r="A18" t="s">
        <v>2986</v>
      </c>
      <c r="B18" t="s">
        <v>2016</v>
      </c>
      <c r="C18" s="67" t="s">
        <v>3056</v>
      </c>
      <c r="D18" s="103" t="s">
        <v>3015</v>
      </c>
      <c r="E18" s="103" t="s">
        <v>2881</v>
      </c>
      <c r="F18" s="105" t="s">
        <v>2880</v>
      </c>
      <c r="G18" s="95">
        <v>2023</v>
      </c>
      <c r="H18" s="67" t="s">
        <v>2140</v>
      </c>
      <c r="I18" t="s">
        <v>61</v>
      </c>
      <c r="J18" t="s">
        <v>2001</v>
      </c>
      <c r="K18" t="s">
        <v>2004</v>
      </c>
      <c r="L18" s="22" t="s">
        <v>1806</v>
      </c>
      <c r="M18" s="22" t="s">
        <v>862</v>
      </c>
      <c r="N18" s="22" t="s">
        <v>968</v>
      </c>
      <c r="O18" s="22" t="s">
        <v>1002</v>
      </c>
      <c r="P18" s="22" t="s">
        <v>1072</v>
      </c>
      <c r="Q18" s="22" t="s">
        <v>1073</v>
      </c>
      <c r="R18" s="22" t="s">
        <v>344</v>
      </c>
      <c r="S18" s="46"/>
      <c r="T18" s="47" t="s">
        <v>2936</v>
      </c>
      <c r="U18" s="65" t="s">
        <v>1995</v>
      </c>
      <c r="V18" s="65" t="s">
        <v>1995</v>
      </c>
      <c r="W18" s="65" t="s">
        <v>2001</v>
      </c>
      <c r="X18" s="65" t="s">
        <v>2001</v>
      </c>
      <c r="Y18" s="65" t="s">
        <v>2935</v>
      </c>
      <c r="Z18" s="65" t="s">
        <v>1992</v>
      </c>
      <c r="AA18" s="65" t="s">
        <v>1992</v>
      </c>
      <c r="AB18" t="s">
        <v>1861</v>
      </c>
      <c r="AC18" s="36" t="s">
        <v>1865</v>
      </c>
      <c r="AD18" s="36" t="s">
        <v>2879</v>
      </c>
      <c r="AE18" s="36" t="s">
        <v>2945</v>
      </c>
      <c r="AF18" s="36" t="s">
        <v>2946</v>
      </c>
      <c r="AG18" t="s">
        <v>2878</v>
      </c>
      <c r="AH18" s="36" t="s">
        <v>2007</v>
      </c>
      <c r="AI18">
        <v>2022</v>
      </c>
      <c r="AJ18">
        <v>2022</v>
      </c>
      <c r="AK18" s="50">
        <v>2022</v>
      </c>
      <c r="AL18" s="50">
        <v>2022</v>
      </c>
      <c r="AM18" t="s">
        <v>1997</v>
      </c>
      <c r="AN18">
        <v>135988</v>
      </c>
      <c r="AO18"/>
      <c r="AP18"/>
      <c r="AQ18" s="70">
        <f t="shared" si="9"/>
        <v>82504.306839984289</v>
      </c>
      <c r="AR18" s="70">
        <f t="shared" si="10"/>
        <v>119481.52913679006</v>
      </c>
      <c r="AS18" s="70">
        <f t="shared" si="2"/>
        <v>135988</v>
      </c>
      <c r="AT18" s="70">
        <f t="shared" si="11"/>
        <v>82504.306839984289</v>
      </c>
      <c r="AU18" s="70">
        <f t="shared" si="12"/>
        <v>119481.52913679006</v>
      </c>
      <c r="AV18" t="s">
        <v>2868</v>
      </c>
      <c r="AW18">
        <v>2022</v>
      </c>
      <c r="AX18" t="s">
        <v>1998</v>
      </c>
      <c r="AY18" t="s">
        <v>1999</v>
      </c>
      <c r="AZ18" t="s">
        <v>2011</v>
      </c>
      <c r="BA18" t="s">
        <v>140</v>
      </c>
      <c r="BB18" t="s">
        <v>2195</v>
      </c>
      <c r="BC18" t="s">
        <v>2195</v>
      </c>
      <c r="BD18" t="s">
        <v>2200</v>
      </c>
      <c r="BE18" t="s">
        <v>2000</v>
      </c>
      <c r="BF18" t="s">
        <v>2000</v>
      </c>
      <c r="BG18" s="92" t="s">
        <v>2955</v>
      </c>
      <c r="BI18" s="79" t="s">
        <v>2869</v>
      </c>
      <c r="BJ18" s="79" t="s">
        <v>2870</v>
      </c>
      <c r="BK18" s="68" t="s">
        <v>2925</v>
      </c>
      <c r="BL18" s="79" t="s">
        <v>2871</v>
      </c>
      <c r="BM18" s="66" t="s">
        <v>2872</v>
      </c>
      <c r="BN18" t="s">
        <v>1994</v>
      </c>
    </row>
    <row r="19" spans="1:66" ht="18.95" customHeight="1" x14ac:dyDescent="0.25">
      <c r="A19" t="s">
        <v>2987</v>
      </c>
      <c r="B19" t="s">
        <v>2016</v>
      </c>
      <c r="C19" s="67" t="s">
        <v>3057</v>
      </c>
      <c r="D19" s="103" t="s">
        <v>3015</v>
      </c>
      <c r="E19" s="103" t="s">
        <v>2881</v>
      </c>
      <c r="F19" s="105" t="s">
        <v>2880</v>
      </c>
      <c r="G19" s="95">
        <v>2023</v>
      </c>
      <c r="H19" s="67" t="s">
        <v>2140</v>
      </c>
      <c r="I19" t="s">
        <v>61</v>
      </c>
      <c r="J19" t="s">
        <v>2001</v>
      </c>
      <c r="K19" t="s">
        <v>2004</v>
      </c>
      <c r="L19" s="22" t="s">
        <v>1806</v>
      </c>
      <c r="M19" s="22" t="s">
        <v>862</v>
      </c>
      <c r="N19" s="22" t="s">
        <v>968</v>
      </c>
      <c r="O19" s="22" t="s">
        <v>1002</v>
      </c>
      <c r="P19" s="22" t="s">
        <v>1072</v>
      </c>
      <c r="Q19" s="22" t="s">
        <v>1073</v>
      </c>
      <c r="R19" s="22" t="s">
        <v>344</v>
      </c>
      <c r="S19" s="46"/>
      <c r="T19" s="47" t="s">
        <v>2936</v>
      </c>
      <c r="U19" s="65" t="s">
        <v>1995</v>
      </c>
      <c r="V19" s="65" t="s">
        <v>1995</v>
      </c>
      <c r="W19" s="65" t="s">
        <v>2001</v>
      </c>
      <c r="X19" s="65" t="s">
        <v>2001</v>
      </c>
      <c r="Y19" s="65" t="s">
        <v>2935</v>
      </c>
      <c r="Z19" s="65" t="s">
        <v>1992</v>
      </c>
      <c r="AA19" s="65" t="s">
        <v>1992</v>
      </c>
      <c r="AB19" t="s">
        <v>1861</v>
      </c>
      <c r="AC19" s="36" t="s">
        <v>1865</v>
      </c>
      <c r="AD19" s="36" t="s">
        <v>2879</v>
      </c>
      <c r="AE19" s="36" t="s">
        <v>2947</v>
      </c>
      <c r="AF19" s="36" t="s">
        <v>2948</v>
      </c>
      <c r="AG19" t="s">
        <v>2878</v>
      </c>
      <c r="AH19" s="36" t="s">
        <v>2007</v>
      </c>
      <c r="AI19">
        <v>2022</v>
      </c>
      <c r="AJ19">
        <v>2022</v>
      </c>
      <c r="AK19" s="50">
        <v>2022</v>
      </c>
      <c r="AL19" s="50">
        <v>2022</v>
      </c>
      <c r="AM19" t="s">
        <v>1997</v>
      </c>
      <c r="AN19">
        <v>84385</v>
      </c>
      <c r="AO19"/>
      <c r="AP19"/>
      <c r="AQ19" s="70">
        <f t="shared" si="9"/>
        <v>51196.619795070699</v>
      </c>
      <c r="AR19" s="70">
        <f t="shared" si="10"/>
        <v>74142.195165808967</v>
      </c>
      <c r="AS19" s="70">
        <f t="shared" si="2"/>
        <v>84385</v>
      </c>
      <c r="AT19" s="70">
        <f t="shared" si="11"/>
        <v>51196.619795070699</v>
      </c>
      <c r="AU19" s="70">
        <f t="shared" si="12"/>
        <v>74142.195165808967</v>
      </c>
      <c r="AV19" t="s">
        <v>2868</v>
      </c>
      <c r="AW19">
        <v>2022</v>
      </c>
      <c r="AX19" t="s">
        <v>1998</v>
      </c>
      <c r="AY19" t="s">
        <v>1999</v>
      </c>
      <c r="AZ19" t="s">
        <v>2011</v>
      </c>
      <c r="BA19" t="s">
        <v>140</v>
      </c>
      <c r="BB19" t="s">
        <v>2195</v>
      </c>
      <c r="BC19" t="s">
        <v>2195</v>
      </c>
      <c r="BD19" t="s">
        <v>2200</v>
      </c>
      <c r="BE19" t="s">
        <v>2000</v>
      </c>
      <c r="BF19" t="s">
        <v>2000</v>
      </c>
      <c r="BG19" s="92" t="s">
        <v>2955</v>
      </c>
      <c r="BI19" s="79" t="s">
        <v>2869</v>
      </c>
      <c r="BJ19" s="79" t="s">
        <v>2870</v>
      </c>
      <c r="BK19" s="68" t="s">
        <v>2925</v>
      </c>
      <c r="BL19" s="79" t="s">
        <v>2871</v>
      </c>
      <c r="BM19" s="66" t="s">
        <v>2872</v>
      </c>
      <c r="BN19" t="s">
        <v>1994</v>
      </c>
    </row>
    <row r="20" spans="1:66" ht="18.95" customHeight="1" x14ac:dyDescent="0.25">
      <c r="A20" t="s">
        <v>2988</v>
      </c>
      <c r="B20" t="s">
        <v>2016</v>
      </c>
      <c r="C20" s="67" t="s">
        <v>3058</v>
      </c>
      <c r="D20" s="103" t="s">
        <v>3015</v>
      </c>
      <c r="E20" s="103" t="s">
        <v>2881</v>
      </c>
      <c r="F20" s="105" t="s">
        <v>2880</v>
      </c>
      <c r="G20" s="95">
        <v>2023</v>
      </c>
      <c r="H20" s="67" t="s">
        <v>2140</v>
      </c>
      <c r="I20" t="s">
        <v>61</v>
      </c>
      <c r="J20" t="s">
        <v>2001</v>
      </c>
      <c r="K20" t="s">
        <v>2004</v>
      </c>
      <c r="L20" s="22" t="s">
        <v>1806</v>
      </c>
      <c r="M20" s="22" t="s">
        <v>862</v>
      </c>
      <c r="N20" s="22" t="s">
        <v>968</v>
      </c>
      <c r="O20" s="22" t="s">
        <v>1002</v>
      </c>
      <c r="P20" s="22" t="s">
        <v>1072</v>
      </c>
      <c r="Q20" s="22" t="s">
        <v>1073</v>
      </c>
      <c r="R20" s="22" t="s">
        <v>2866</v>
      </c>
      <c r="S20" s="46"/>
      <c r="T20" s="47" t="s">
        <v>2867</v>
      </c>
      <c r="U20" s="65" t="s">
        <v>1995</v>
      </c>
      <c r="V20" s="65" t="s">
        <v>1995</v>
      </c>
      <c r="W20" s="65" t="s">
        <v>2001</v>
      </c>
      <c r="X20" s="65" t="s">
        <v>2001</v>
      </c>
      <c r="Y20" s="65" t="s">
        <v>2935</v>
      </c>
      <c r="Z20" s="65" t="s">
        <v>1992</v>
      </c>
      <c r="AA20" s="65" t="s">
        <v>1992</v>
      </c>
      <c r="AB20" t="s">
        <v>1861</v>
      </c>
      <c r="AC20" s="36" t="s">
        <v>1865</v>
      </c>
      <c r="AD20" s="36" t="s">
        <v>2879</v>
      </c>
      <c r="AE20" s="36" t="s">
        <v>2949</v>
      </c>
      <c r="AF20" s="36" t="s">
        <v>2950</v>
      </c>
      <c r="AG20" t="s">
        <v>2878</v>
      </c>
      <c r="AH20" s="36" t="s">
        <v>2007</v>
      </c>
      <c r="AI20">
        <v>2022</v>
      </c>
      <c r="AJ20">
        <v>2022</v>
      </c>
      <c r="AK20" s="50">
        <v>2022</v>
      </c>
      <c r="AL20" s="50">
        <v>2022</v>
      </c>
      <c r="AM20" t="s">
        <v>1997</v>
      </c>
      <c r="AN20">
        <v>160266</v>
      </c>
      <c r="AO20"/>
      <c r="AP20"/>
      <c r="AQ20" s="70">
        <f t="shared" si="9"/>
        <v>97233.838574116264</v>
      </c>
      <c r="AR20" s="70">
        <f t="shared" si="10"/>
        <v>140812.62132421095</v>
      </c>
      <c r="AS20" s="70">
        <f t="shared" si="2"/>
        <v>160266</v>
      </c>
      <c r="AT20" s="70">
        <f t="shared" si="11"/>
        <v>97233.838574116264</v>
      </c>
      <c r="AU20" s="70">
        <f t="shared" si="12"/>
        <v>140812.62132421095</v>
      </c>
      <c r="AV20" t="s">
        <v>2868</v>
      </c>
      <c r="AW20">
        <v>2022</v>
      </c>
      <c r="AX20" t="s">
        <v>1998</v>
      </c>
      <c r="AY20" t="s">
        <v>1999</v>
      </c>
      <c r="AZ20" t="s">
        <v>2011</v>
      </c>
      <c r="BA20" t="s">
        <v>140</v>
      </c>
      <c r="BB20" t="s">
        <v>2195</v>
      </c>
      <c r="BC20" t="s">
        <v>2195</v>
      </c>
      <c r="BD20" t="s">
        <v>2200</v>
      </c>
      <c r="BE20" t="s">
        <v>2000</v>
      </c>
      <c r="BF20" t="s">
        <v>2000</v>
      </c>
      <c r="BG20" s="92" t="s">
        <v>2955</v>
      </c>
      <c r="BI20" s="79" t="s">
        <v>2869</v>
      </c>
      <c r="BJ20" s="79" t="s">
        <v>2870</v>
      </c>
      <c r="BK20" s="68" t="s">
        <v>2925</v>
      </c>
      <c r="BL20" s="79" t="s">
        <v>2871</v>
      </c>
      <c r="BM20" s="66" t="s">
        <v>2872</v>
      </c>
      <c r="BN20" t="s">
        <v>1994</v>
      </c>
    </row>
    <row r="21" spans="1:66" ht="18.95" customHeight="1" x14ac:dyDescent="0.25">
      <c r="A21" t="s">
        <v>2989</v>
      </c>
      <c r="B21" t="s">
        <v>2016</v>
      </c>
      <c r="C21" s="67" t="s">
        <v>3059</v>
      </c>
      <c r="D21" s="103" t="s">
        <v>3015</v>
      </c>
      <c r="E21" s="103" t="s">
        <v>2881</v>
      </c>
      <c r="F21" s="105" t="s">
        <v>2880</v>
      </c>
      <c r="G21" s="95">
        <v>2023</v>
      </c>
      <c r="H21" s="67" t="s">
        <v>2140</v>
      </c>
      <c r="I21" t="s">
        <v>61</v>
      </c>
      <c r="J21" t="s">
        <v>2001</v>
      </c>
      <c r="K21" t="s">
        <v>2004</v>
      </c>
      <c r="L21" s="22" t="s">
        <v>1806</v>
      </c>
      <c r="M21" s="22" t="s">
        <v>862</v>
      </c>
      <c r="N21" s="22" t="s">
        <v>968</v>
      </c>
      <c r="O21" s="22" t="s">
        <v>1002</v>
      </c>
      <c r="P21" s="22" t="s">
        <v>1072</v>
      </c>
      <c r="Q21" s="22" t="s">
        <v>1073</v>
      </c>
      <c r="R21" s="22" t="s">
        <v>2866</v>
      </c>
      <c r="S21" s="46"/>
      <c r="T21" s="47" t="s">
        <v>2867</v>
      </c>
      <c r="U21" s="65" t="s">
        <v>1995</v>
      </c>
      <c r="V21" s="65" t="s">
        <v>1995</v>
      </c>
      <c r="W21" s="65" t="s">
        <v>2001</v>
      </c>
      <c r="X21" s="65" t="s">
        <v>2001</v>
      </c>
      <c r="Y21" s="65" t="s">
        <v>2935</v>
      </c>
      <c r="Z21" s="65" t="s">
        <v>1992</v>
      </c>
      <c r="AA21" s="65" t="s">
        <v>1992</v>
      </c>
      <c r="AB21" t="s">
        <v>1861</v>
      </c>
      <c r="AC21" s="36" t="s">
        <v>1865</v>
      </c>
      <c r="AD21" s="36" t="s">
        <v>2879</v>
      </c>
      <c r="AE21" s="36" t="s">
        <v>2949</v>
      </c>
      <c r="AF21" s="36" t="s">
        <v>2950</v>
      </c>
      <c r="AG21" t="s">
        <v>2878</v>
      </c>
      <c r="AH21" s="36" t="s">
        <v>2007</v>
      </c>
      <c r="AI21">
        <v>2022</v>
      </c>
      <c r="AJ21">
        <v>2022</v>
      </c>
      <c r="AK21" s="50">
        <v>2022</v>
      </c>
      <c r="AL21" s="50">
        <v>2022</v>
      </c>
      <c r="AM21" t="s">
        <v>1997</v>
      </c>
      <c r="AN21">
        <v>154712</v>
      </c>
      <c r="AO21"/>
      <c r="AP21"/>
      <c r="AQ21" s="70">
        <f t="shared" si="9"/>
        <v>93864.210958523181</v>
      </c>
      <c r="AR21" s="70">
        <f t="shared" si="10"/>
        <v>135932.77594942984</v>
      </c>
      <c r="AS21" s="70">
        <f t="shared" si="2"/>
        <v>154712</v>
      </c>
      <c r="AT21" s="70">
        <f t="shared" si="11"/>
        <v>93864.210958523181</v>
      </c>
      <c r="AU21" s="70">
        <f t="shared" si="12"/>
        <v>135932.77594942984</v>
      </c>
      <c r="AV21" t="s">
        <v>2868</v>
      </c>
      <c r="AW21">
        <v>2022</v>
      </c>
      <c r="AX21" t="s">
        <v>1998</v>
      </c>
      <c r="AY21" t="s">
        <v>1999</v>
      </c>
      <c r="AZ21" t="s">
        <v>2011</v>
      </c>
      <c r="BA21" t="s">
        <v>140</v>
      </c>
      <c r="BB21" t="s">
        <v>2195</v>
      </c>
      <c r="BC21" t="s">
        <v>2195</v>
      </c>
      <c r="BD21" t="s">
        <v>2200</v>
      </c>
      <c r="BE21" t="s">
        <v>2000</v>
      </c>
      <c r="BF21" t="s">
        <v>2000</v>
      </c>
      <c r="BG21" s="92" t="s">
        <v>2955</v>
      </c>
      <c r="BI21" s="79" t="s">
        <v>2869</v>
      </c>
      <c r="BJ21" s="79" t="s">
        <v>2870</v>
      </c>
      <c r="BK21" s="68" t="s">
        <v>2925</v>
      </c>
      <c r="BL21" s="79" t="s">
        <v>2871</v>
      </c>
      <c r="BM21" s="66" t="s">
        <v>2872</v>
      </c>
      <c r="BN21" t="s">
        <v>1994</v>
      </c>
    </row>
    <row r="22" spans="1:66" ht="18.95" customHeight="1" x14ac:dyDescent="0.25">
      <c r="A22" t="s">
        <v>2995</v>
      </c>
      <c r="B22" t="s">
        <v>2016</v>
      </c>
      <c r="C22" s="67" t="s">
        <v>3060</v>
      </c>
      <c r="D22" s="103" t="s">
        <v>3015</v>
      </c>
      <c r="E22" s="103" t="s">
        <v>2881</v>
      </c>
      <c r="F22" s="105" t="s">
        <v>2880</v>
      </c>
      <c r="G22" s="95">
        <v>2023</v>
      </c>
      <c r="H22" s="67" t="s">
        <v>2140</v>
      </c>
      <c r="I22" t="s">
        <v>61</v>
      </c>
      <c r="J22" t="s">
        <v>2001</v>
      </c>
      <c r="K22" t="s">
        <v>2004</v>
      </c>
      <c r="L22" s="22" t="s">
        <v>1806</v>
      </c>
      <c r="M22" s="22" t="s">
        <v>862</v>
      </c>
      <c r="N22" s="22" t="s">
        <v>968</v>
      </c>
      <c r="O22" s="22" t="s">
        <v>1002</v>
      </c>
      <c r="P22" s="22" t="s">
        <v>1072</v>
      </c>
      <c r="Q22" s="22" t="s">
        <v>1073</v>
      </c>
      <c r="R22" s="22" t="s">
        <v>288</v>
      </c>
      <c r="S22" s="46"/>
      <c r="T22" s="47" t="s">
        <v>2937</v>
      </c>
      <c r="U22" s="65" t="s">
        <v>1995</v>
      </c>
      <c r="V22" s="65" t="s">
        <v>1995</v>
      </c>
      <c r="W22" s="65" t="s">
        <v>2001</v>
      </c>
      <c r="X22" s="65" t="s">
        <v>2001</v>
      </c>
      <c r="Y22" s="65" t="s">
        <v>2935</v>
      </c>
      <c r="Z22" s="65" t="s">
        <v>1992</v>
      </c>
      <c r="AA22" s="65" t="s">
        <v>1992</v>
      </c>
      <c r="AB22" t="s">
        <v>1861</v>
      </c>
      <c r="AC22" s="36" t="s">
        <v>1865</v>
      </c>
      <c r="AD22" s="36" t="s">
        <v>2879</v>
      </c>
      <c r="AE22" s="36" t="s">
        <v>2951</v>
      </c>
      <c r="AF22" s="36" t="s">
        <v>2952</v>
      </c>
      <c r="AG22" t="s">
        <v>2878</v>
      </c>
      <c r="AH22" s="36" t="s">
        <v>2007</v>
      </c>
      <c r="AI22">
        <v>2022</v>
      </c>
      <c r="AJ22">
        <v>2022</v>
      </c>
      <c r="AK22" s="50">
        <v>2022</v>
      </c>
      <c r="AL22" s="50">
        <v>2022</v>
      </c>
      <c r="AM22" t="s">
        <v>1997</v>
      </c>
      <c r="AN22">
        <v>70175</v>
      </c>
      <c r="AO22"/>
      <c r="AP22"/>
      <c r="AQ22" s="70">
        <f t="shared" si="9"/>
        <v>42575.372330616658</v>
      </c>
      <c r="AR22" s="70">
        <f t="shared" si="10"/>
        <v>61657.030820177104</v>
      </c>
      <c r="AS22" s="70">
        <f t="shared" si="2"/>
        <v>70175</v>
      </c>
      <c r="AT22" s="70">
        <f t="shared" si="11"/>
        <v>42575.372330616658</v>
      </c>
      <c r="AU22" s="70">
        <f t="shared" si="12"/>
        <v>61657.030820177104</v>
      </c>
      <c r="AV22" t="s">
        <v>2868</v>
      </c>
      <c r="AW22">
        <v>2022</v>
      </c>
      <c r="AX22" t="s">
        <v>1998</v>
      </c>
      <c r="AY22" t="s">
        <v>1999</v>
      </c>
      <c r="AZ22" t="s">
        <v>2011</v>
      </c>
      <c r="BA22" t="s">
        <v>140</v>
      </c>
      <c r="BB22" t="s">
        <v>2195</v>
      </c>
      <c r="BC22" t="s">
        <v>2195</v>
      </c>
      <c r="BD22" t="s">
        <v>2200</v>
      </c>
      <c r="BE22" t="s">
        <v>2000</v>
      </c>
      <c r="BF22" t="s">
        <v>2000</v>
      </c>
      <c r="BG22" s="92" t="s">
        <v>2955</v>
      </c>
      <c r="BI22" s="79" t="s">
        <v>2869</v>
      </c>
      <c r="BJ22" s="79" t="s">
        <v>2870</v>
      </c>
      <c r="BK22" s="68" t="s">
        <v>2925</v>
      </c>
      <c r="BL22" s="79" t="s">
        <v>2871</v>
      </c>
      <c r="BM22" s="66" t="s">
        <v>2872</v>
      </c>
      <c r="BN22" t="s">
        <v>1994</v>
      </c>
    </row>
    <row r="23" spans="1:66" ht="18.95" customHeight="1" x14ac:dyDescent="0.25">
      <c r="A23" t="s">
        <v>2996</v>
      </c>
      <c r="B23" t="s">
        <v>2016</v>
      </c>
      <c r="C23" s="67" t="s">
        <v>3061</v>
      </c>
      <c r="D23" s="103" t="s">
        <v>3015</v>
      </c>
      <c r="E23" s="103" t="s">
        <v>2881</v>
      </c>
      <c r="F23" s="105" t="s">
        <v>2880</v>
      </c>
      <c r="G23" s="95">
        <v>2023</v>
      </c>
      <c r="H23" s="67" t="s">
        <v>2140</v>
      </c>
      <c r="I23" t="s">
        <v>61</v>
      </c>
      <c r="J23" t="s">
        <v>2001</v>
      </c>
      <c r="K23" t="s">
        <v>2004</v>
      </c>
      <c r="L23" s="22" t="s">
        <v>1806</v>
      </c>
      <c r="M23" s="22" t="s">
        <v>862</v>
      </c>
      <c r="N23" s="22" t="s">
        <v>968</v>
      </c>
      <c r="O23" s="22" t="s">
        <v>1002</v>
      </c>
      <c r="P23" s="22" t="s">
        <v>1072</v>
      </c>
      <c r="Q23" s="22" t="s">
        <v>1073</v>
      </c>
      <c r="R23" s="22" t="s">
        <v>2866</v>
      </c>
      <c r="S23" s="46"/>
      <c r="T23" s="47" t="s">
        <v>2867</v>
      </c>
      <c r="U23" s="65" t="s">
        <v>1995</v>
      </c>
      <c r="V23" s="65" t="s">
        <v>1995</v>
      </c>
      <c r="W23" s="65" t="s">
        <v>2001</v>
      </c>
      <c r="X23" s="65" t="s">
        <v>2001</v>
      </c>
      <c r="Y23" s="65" t="s">
        <v>2935</v>
      </c>
      <c r="Z23" s="65" t="s">
        <v>1992</v>
      </c>
      <c r="AA23" s="65" t="s">
        <v>1992</v>
      </c>
      <c r="AB23" t="s">
        <v>1861</v>
      </c>
      <c r="AC23" s="36" t="s">
        <v>1865</v>
      </c>
      <c r="AD23" s="36" t="s">
        <v>2879</v>
      </c>
      <c r="AE23" s="36" t="s">
        <v>2953</v>
      </c>
      <c r="AF23" s="36" t="s">
        <v>2954</v>
      </c>
      <c r="AG23" t="s">
        <v>2878</v>
      </c>
      <c r="AH23" s="36" t="s">
        <v>2007</v>
      </c>
      <c r="AI23">
        <v>2022</v>
      </c>
      <c r="AJ23">
        <v>2022</v>
      </c>
      <c r="AK23" s="50">
        <v>2022</v>
      </c>
      <c r="AL23" s="50">
        <v>2022</v>
      </c>
      <c r="AM23" t="s">
        <v>1997</v>
      </c>
      <c r="AN23">
        <v>27355</v>
      </c>
      <c r="AO23"/>
      <c r="AP23"/>
      <c r="AQ23" s="70">
        <f t="shared" si="9"/>
        <v>16596.35639620974</v>
      </c>
      <c r="AR23" s="70">
        <f t="shared" si="10"/>
        <v>24034.600328976765</v>
      </c>
      <c r="AS23" s="70">
        <f t="shared" si="2"/>
        <v>27355</v>
      </c>
      <c r="AT23" s="70">
        <f t="shared" si="11"/>
        <v>16596.35639620974</v>
      </c>
      <c r="AU23" s="70">
        <f t="shared" si="12"/>
        <v>24034.600328976765</v>
      </c>
      <c r="AV23" t="s">
        <v>2868</v>
      </c>
      <c r="AW23">
        <v>2022</v>
      </c>
      <c r="AX23" t="s">
        <v>1998</v>
      </c>
      <c r="AY23" t="s">
        <v>1999</v>
      </c>
      <c r="AZ23" t="s">
        <v>2011</v>
      </c>
      <c r="BA23" t="s">
        <v>140</v>
      </c>
      <c r="BB23" t="s">
        <v>2195</v>
      </c>
      <c r="BC23" t="s">
        <v>2195</v>
      </c>
      <c r="BD23" t="s">
        <v>2200</v>
      </c>
      <c r="BE23" t="s">
        <v>2000</v>
      </c>
      <c r="BF23" t="s">
        <v>2000</v>
      </c>
      <c r="BG23" s="92" t="s">
        <v>2955</v>
      </c>
      <c r="BI23" s="79" t="s">
        <v>2869</v>
      </c>
      <c r="BJ23" s="79" t="s">
        <v>2870</v>
      </c>
      <c r="BK23" s="68" t="s">
        <v>2925</v>
      </c>
      <c r="BL23" s="79" t="s">
        <v>2871</v>
      </c>
      <c r="BM23" s="66" t="s">
        <v>2872</v>
      </c>
      <c r="BN23" t="s">
        <v>1994</v>
      </c>
    </row>
    <row r="24" spans="1:66" ht="18.95" customHeight="1" x14ac:dyDescent="0.25">
      <c r="A24" t="s">
        <v>2990</v>
      </c>
      <c r="B24" t="s">
        <v>2016</v>
      </c>
      <c r="C24" s="109" t="s">
        <v>3063</v>
      </c>
      <c r="D24" s="106" t="s">
        <v>2882</v>
      </c>
      <c r="E24" s="107" t="s">
        <v>3062</v>
      </c>
      <c r="F24" s="108" t="s">
        <v>2883</v>
      </c>
      <c r="G24" s="95">
        <v>2017</v>
      </c>
      <c r="H24" t="s">
        <v>2140</v>
      </c>
      <c r="I24" t="s">
        <v>60</v>
      </c>
      <c r="J24" t="s">
        <v>2001</v>
      </c>
      <c r="K24" t="s">
        <v>2004</v>
      </c>
      <c r="L24" s="22" t="s">
        <v>1806</v>
      </c>
      <c r="M24" s="22" t="s">
        <v>862</v>
      </c>
      <c r="N24" s="22" t="s">
        <v>968</v>
      </c>
      <c r="O24" s="22" t="s">
        <v>1002</v>
      </c>
      <c r="P24" s="22" t="s">
        <v>1072</v>
      </c>
      <c r="Q24" s="22" t="s">
        <v>1073</v>
      </c>
      <c r="R24" s="22" t="s">
        <v>2866</v>
      </c>
      <c r="S24" s="46"/>
      <c r="T24" s="47" t="s">
        <v>2867</v>
      </c>
      <c r="U24" s="65" t="s">
        <v>1995</v>
      </c>
      <c r="V24" s="65" t="s">
        <v>1995</v>
      </c>
      <c r="W24" s="65" t="s">
        <v>2001</v>
      </c>
      <c r="X24" s="65" t="s">
        <v>2001</v>
      </c>
      <c r="Y24" s="65" t="s">
        <v>2241</v>
      </c>
      <c r="Z24" s="65" t="s">
        <v>1992</v>
      </c>
      <c r="AA24" s="65" t="s">
        <v>1992</v>
      </c>
      <c r="AB24" t="s">
        <v>1861</v>
      </c>
      <c r="AC24" s="36" t="s">
        <v>1865</v>
      </c>
      <c r="AD24" s="36" t="s">
        <v>2877</v>
      </c>
      <c r="AE24" s="36" t="s">
        <v>67</v>
      </c>
      <c r="AF24" s="36" t="s">
        <v>2128</v>
      </c>
      <c r="AG24">
        <v>2017</v>
      </c>
      <c r="AH24" s="36" t="s">
        <v>2007</v>
      </c>
      <c r="AI24">
        <v>2017</v>
      </c>
      <c r="AJ24">
        <v>2017</v>
      </c>
      <c r="AK24" s="70">
        <v>2017</v>
      </c>
      <c r="AL24" s="70">
        <v>2017</v>
      </c>
      <c r="AM24" t="s">
        <v>1997</v>
      </c>
      <c r="AN24">
        <v>100000</v>
      </c>
      <c r="AO24"/>
      <c r="AP24"/>
      <c r="AQ24" s="70">
        <f>(AN24*0.7669)</f>
        <v>76690</v>
      </c>
      <c r="AR24" s="70">
        <f>(AN24/1.477553)</f>
        <v>67679.467335520283</v>
      </c>
      <c r="AS24" s="70">
        <f t="shared" si="2"/>
        <v>100000</v>
      </c>
      <c r="AT24" s="70">
        <f>(AN24*0.7669)</f>
        <v>76690</v>
      </c>
      <c r="AU24" s="70">
        <f>(AN24/1.477553)</f>
        <v>67679.467335520283</v>
      </c>
      <c r="AV24" t="s">
        <v>2868</v>
      </c>
      <c r="AW24">
        <v>2017</v>
      </c>
      <c r="AX24" t="s">
        <v>1998</v>
      </c>
      <c r="AY24" t="s">
        <v>1999</v>
      </c>
      <c r="AZ24" t="s">
        <v>2011</v>
      </c>
      <c r="BA24" t="s">
        <v>144</v>
      </c>
      <c r="BB24" t="s">
        <v>2194</v>
      </c>
      <c r="BC24" t="s">
        <v>2194</v>
      </c>
      <c r="BD24" t="s">
        <v>2001</v>
      </c>
      <c r="BE24" t="s">
        <v>2000</v>
      </c>
      <c r="BF24" t="s">
        <v>2000</v>
      </c>
      <c r="BG24" t="s">
        <v>2884</v>
      </c>
      <c r="BI24" s="116" t="s">
        <v>2869</v>
      </c>
      <c r="BJ24" t="s">
        <v>2870</v>
      </c>
      <c r="BK24" t="s">
        <v>2884</v>
      </c>
      <c r="BL24" t="s">
        <v>2871</v>
      </c>
      <c r="BM24" s="69" t="s">
        <v>2872</v>
      </c>
      <c r="BN24" t="s">
        <v>1994</v>
      </c>
    </row>
    <row r="25" spans="1:66" ht="18.95" customHeight="1" x14ac:dyDescent="0.25">
      <c r="A25" t="s">
        <v>2991</v>
      </c>
      <c r="B25" s="89" t="s">
        <v>2016</v>
      </c>
      <c r="C25" t="s">
        <v>2927</v>
      </c>
      <c r="D25" t="s">
        <v>2927</v>
      </c>
      <c r="E25" t="s">
        <v>2927</v>
      </c>
      <c r="F25" t="s">
        <v>2927</v>
      </c>
      <c r="G25" s="95">
        <v>2025</v>
      </c>
      <c r="H25" t="s">
        <v>2140</v>
      </c>
      <c r="I25" t="s">
        <v>66</v>
      </c>
      <c r="J25" t="s">
        <v>2001</v>
      </c>
      <c r="K25" t="s">
        <v>1994</v>
      </c>
      <c r="L25" s="22" t="s">
        <v>1806</v>
      </c>
      <c r="M25" s="22" t="s">
        <v>862</v>
      </c>
      <c r="N25" s="22" t="s">
        <v>968</v>
      </c>
      <c r="O25" s="22" t="s">
        <v>1002</v>
      </c>
      <c r="P25" s="22" t="s">
        <v>1072</v>
      </c>
      <c r="Q25" s="22" t="s">
        <v>1073</v>
      </c>
      <c r="R25" s="22" t="s">
        <v>2866</v>
      </c>
      <c r="S25" s="46"/>
      <c r="T25" s="47" t="s">
        <v>2867</v>
      </c>
      <c r="U25" s="65" t="s">
        <v>1995</v>
      </c>
      <c r="V25" s="65" t="s">
        <v>1995</v>
      </c>
      <c r="W25" s="65" t="s">
        <v>2001</v>
      </c>
      <c r="X25" s="65" t="s">
        <v>2001</v>
      </c>
      <c r="Y25" s="65" t="s">
        <v>2241</v>
      </c>
      <c r="Z25" s="65" t="s">
        <v>1992</v>
      </c>
      <c r="AA25" s="65" t="s">
        <v>1992</v>
      </c>
      <c r="AB25" t="s">
        <v>1861</v>
      </c>
      <c r="AC25" s="36" t="s">
        <v>1865</v>
      </c>
      <c r="AD25" s="36" t="s">
        <v>2879</v>
      </c>
      <c r="AE25" s="36" t="s">
        <v>67</v>
      </c>
      <c r="AF25" s="36" t="s">
        <v>74</v>
      </c>
      <c r="AG25">
        <v>2025</v>
      </c>
      <c r="AH25" s="36" t="s">
        <v>2007</v>
      </c>
      <c r="AI25">
        <v>2025</v>
      </c>
      <c r="AJ25">
        <v>2025</v>
      </c>
      <c r="AK25" s="70">
        <v>2025</v>
      </c>
      <c r="AL25" s="70">
        <v>2025</v>
      </c>
      <c r="AM25" t="s">
        <v>1997</v>
      </c>
      <c r="AN25">
        <v>814232.37</v>
      </c>
      <c r="AO25"/>
      <c r="AP25"/>
      <c r="AQ25" s="70">
        <f>AN25*0.7669*(111.175/142)</f>
        <v>488884.08025478711</v>
      </c>
      <c r="AR25" s="70">
        <f>(AN25/1.364388)*(321.962/245.121)</f>
        <v>783852.90033761621</v>
      </c>
      <c r="AS25" s="70">
        <f t="shared" si="2"/>
        <v>814232.37</v>
      </c>
      <c r="AT25" s="70">
        <f>AN25*0.7669*(111.175/142)</f>
        <v>488884.08025478711</v>
      </c>
      <c r="AU25" s="70">
        <f>(AN25/1.364388)*(321.962/245.121)</f>
        <v>783852.90033761621</v>
      </c>
      <c r="AV25" t="s">
        <v>2868</v>
      </c>
      <c r="AW25">
        <v>2025</v>
      </c>
      <c r="AX25" t="s">
        <v>1998</v>
      </c>
      <c r="AY25" t="s">
        <v>1999</v>
      </c>
      <c r="AZ25" t="s">
        <v>2011</v>
      </c>
      <c r="BA25" t="s">
        <v>140</v>
      </c>
      <c r="BB25" t="s">
        <v>2195</v>
      </c>
      <c r="BC25" t="s">
        <v>2195</v>
      </c>
      <c r="BD25" t="s">
        <v>2200</v>
      </c>
      <c r="BE25" t="s">
        <v>2000</v>
      </c>
      <c r="BF25" t="s">
        <v>2000</v>
      </c>
      <c r="BG25" t="s">
        <v>2885</v>
      </c>
      <c r="BI25" s="117" t="s">
        <v>2869</v>
      </c>
      <c r="BJ25" t="s">
        <v>2870</v>
      </c>
      <c r="BK25" t="s">
        <v>2885</v>
      </c>
      <c r="BL25" t="s">
        <v>2871</v>
      </c>
      <c r="BM25" s="69" t="s">
        <v>2872</v>
      </c>
      <c r="BN25" t="s">
        <v>1994</v>
      </c>
    </row>
    <row r="26" spans="1:66" ht="18.95" customHeight="1" x14ac:dyDescent="0.25">
      <c r="A26" t="s">
        <v>2997</v>
      </c>
      <c r="B26" s="53" t="s">
        <v>2016</v>
      </c>
      <c r="C26" s="66" t="s">
        <v>3064</v>
      </c>
      <c r="D26" s="53" t="s">
        <v>2886</v>
      </c>
      <c r="E26" s="53" t="s">
        <v>2887</v>
      </c>
      <c r="F26" s="96" t="s">
        <v>2888</v>
      </c>
      <c r="G26" s="97">
        <v>2006</v>
      </c>
      <c r="H26" s="53" t="s">
        <v>2140</v>
      </c>
      <c r="I26" t="s">
        <v>61</v>
      </c>
      <c r="J26" t="s">
        <v>2001</v>
      </c>
      <c r="K26" s="53" t="s">
        <v>2004</v>
      </c>
      <c r="L26" s="71" t="s">
        <v>1806</v>
      </c>
      <c r="M26" s="71" t="s">
        <v>862</v>
      </c>
      <c r="N26" s="71" t="s">
        <v>968</v>
      </c>
      <c r="O26" s="71" t="s">
        <v>1002</v>
      </c>
      <c r="P26" s="71" t="s">
        <v>1072</v>
      </c>
      <c r="Q26" s="71" t="s">
        <v>1073</v>
      </c>
      <c r="R26" s="71" t="s">
        <v>2866</v>
      </c>
      <c r="S26" s="88"/>
      <c r="T26" s="87" t="s">
        <v>2867</v>
      </c>
      <c r="U26" s="72" t="s">
        <v>1995</v>
      </c>
      <c r="V26" s="72" t="s">
        <v>1995</v>
      </c>
      <c r="W26" s="72" t="s">
        <v>2001</v>
      </c>
      <c r="X26" s="72" t="s">
        <v>2001</v>
      </c>
      <c r="Y26" s="72" t="s">
        <v>2241</v>
      </c>
      <c r="Z26" s="72" t="s">
        <v>1984</v>
      </c>
      <c r="AA26" s="72" t="s">
        <v>1992</v>
      </c>
      <c r="AB26" s="53" t="s">
        <v>1861</v>
      </c>
      <c r="AC26" s="90" t="s">
        <v>1929</v>
      </c>
      <c r="AD26" s="90" t="s">
        <v>2889</v>
      </c>
      <c r="AE26" s="90" t="s">
        <v>67</v>
      </c>
      <c r="AF26" s="90" t="s">
        <v>74</v>
      </c>
      <c r="AG26" s="53">
        <v>2006</v>
      </c>
      <c r="AH26" s="90" t="s">
        <v>2007</v>
      </c>
      <c r="AI26" s="53">
        <v>2006</v>
      </c>
      <c r="AJ26" s="53">
        <v>2006</v>
      </c>
      <c r="AK26" s="91">
        <v>2006</v>
      </c>
      <c r="AL26" s="91">
        <v>2006</v>
      </c>
      <c r="AM26" s="53" t="s">
        <v>2008</v>
      </c>
      <c r="AN26" s="53">
        <v>184500</v>
      </c>
      <c r="AP26" s="53">
        <v>600000500</v>
      </c>
      <c r="AQ26" s="91">
        <f>(AN26/1.542056)*(245.121/201.558)</f>
        <v>145504.59364342436</v>
      </c>
      <c r="AR26" s="91">
        <f>(184500/1.48217)*(201.558/245.121)</f>
        <v>102357.0763354621</v>
      </c>
      <c r="AS26" s="70">
        <f t="shared" si="2"/>
        <v>184500</v>
      </c>
      <c r="AT26" s="91">
        <f>(AN26/1.542056)*(245.121/201.558)</f>
        <v>145504.59364342436</v>
      </c>
      <c r="AU26" s="91">
        <f>(184500/1.48217)*(201.558/245.121)</f>
        <v>102357.0763354621</v>
      </c>
      <c r="AV26" s="130" t="s">
        <v>2890</v>
      </c>
      <c r="AW26" s="129">
        <v>2006</v>
      </c>
      <c r="AX26" s="53" t="s">
        <v>2009</v>
      </c>
      <c r="AY26" s="53" t="s">
        <v>2010</v>
      </c>
      <c r="AZ26" s="53" t="s">
        <v>2011</v>
      </c>
      <c r="BA26" s="53" t="s">
        <v>139</v>
      </c>
      <c r="BB26" s="53" t="s">
        <v>2194</v>
      </c>
      <c r="BC26" s="53" t="s">
        <v>2194</v>
      </c>
      <c r="BD26" s="53" t="s">
        <v>2001</v>
      </c>
      <c r="BE26" s="53" t="s">
        <v>2012</v>
      </c>
      <c r="BF26" s="53" t="s">
        <v>2012</v>
      </c>
      <c r="BG26" s="53" t="s">
        <v>2891</v>
      </c>
      <c r="BH26" s="53"/>
      <c r="BI26" s="118" t="s">
        <v>2869</v>
      </c>
      <c r="BJ26" t="s">
        <v>2870</v>
      </c>
      <c r="BK26" s="53" t="s">
        <v>2891</v>
      </c>
      <c r="BL26" t="s">
        <v>2871</v>
      </c>
      <c r="BM26" s="69" t="s">
        <v>2872</v>
      </c>
      <c r="BN26" t="s">
        <v>1994</v>
      </c>
    </row>
    <row r="27" spans="1:66" ht="18.95" customHeight="1" x14ac:dyDescent="0.25">
      <c r="A27" t="s">
        <v>2998</v>
      </c>
      <c r="B27" t="s">
        <v>3014</v>
      </c>
      <c r="C27" s="112" t="s">
        <v>3067</v>
      </c>
      <c r="D27" t="s">
        <v>2892</v>
      </c>
      <c r="E27" t="s">
        <v>2893</v>
      </c>
      <c r="F27" s="98" t="s">
        <v>2966</v>
      </c>
      <c r="G27" s="95">
        <v>2024</v>
      </c>
      <c r="H27" t="s">
        <v>2140</v>
      </c>
      <c r="I27" t="s">
        <v>61</v>
      </c>
      <c r="J27" t="s">
        <v>2001</v>
      </c>
      <c r="K27" t="s">
        <v>2004</v>
      </c>
      <c r="L27" s="71" t="s">
        <v>1806</v>
      </c>
      <c r="M27" s="71" t="s">
        <v>862</v>
      </c>
      <c r="N27" s="71" t="s">
        <v>968</v>
      </c>
      <c r="O27" s="71" t="s">
        <v>1002</v>
      </c>
      <c r="P27" s="71" t="s">
        <v>1072</v>
      </c>
      <c r="Q27" s="71" t="s">
        <v>1073</v>
      </c>
      <c r="R27" s="71" t="s">
        <v>2957</v>
      </c>
      <c r="S27" s="73"/>
      <c r="T27" s="74" t="s">
        <v>2956</v>
      </c>
      <c r="U27" s="72" t="s">
        <v>1995</v>
      </c>
      <c r="V27" s="72" t="s">
        <v>1995</v>
      </c>
      <c r="W27" s="72" t="s">
        <v>2001</v>
      </c>
      <c r="X27" s="72" t="s">
        <v>2001</v>
      </c>
      <c r="Y27" s="72" t="s">
        <v>2241</v>
      </c>
      <c r="Z27" s="72" t="s">
        <v>1992</v>
      </c>
      <c r="AA27" s="72" t="s">
        <v>1992</v>
      </c>
      <c r="AB27" s="75" t="s">
        <v>1861</v>
      </c>
      <c r="AC27" s="36" t="s">
        <v>1865</v>
      </c>
      <c r="AD27" s="36" t="s">
        <v>2875</v>
      </c>
      <c r="AE27" s="36" t="s">
        <v>2958</v>
      </c>
      <c r="AF27" s="36" t="s">
        <v>74</v>
      </c>
      <c r="AG27" t="s">
        <v>2959</v>
      </c>
      <c r="AH27" s="36" t="s">
        <v>1996</v>
      </c>
      <c r="AI27">
        <v>2011</v>
      </c>
      <c r="AJ27">
        <v>2021</v>
      </c>
      <c r="AK27" s="70">
        <v>2011</v>
      </c>
      <c r="AL27" s="70">
        <v>2021</v>
      </c>
      <c r="AM27" s="86" t="s">
        <v>1997</v>
      </c>
      <c r="AN27" s="76">
        <f>(103583.1 + 216290.1 + 202872.6 + 67087.5 + 240978.3 + 139542 + 361735.8 + 194285.5 + 390717.6 + 330607.2 + 27537.1)</f>
        <v>2275236.8000000003</v>
      </c>
      <c r="AO27" s="76"/>
      <c r="AP27" s="84"/>
      <c r="AQ27" s="70">
        <f>(AN27*0.6947)*(245.121/292.626)</f>
        <v>1324010.7497720646</v>
      </c>
      <c r="AR27" s="70">
        <f>(AN27/1.358727)*(292.626/245.121)</f>
        <v>1999064.4175390259</v>
      </c>
      <c r="AS27" s="70">
        <f>(AN27)/10</f>
        <v>227523.68000000002</v>
      </c>
      <c r="AT27" s="70">
        <f>(AN27*0.6947)*(245.121/292.626)/10</f>
        <v>132401.07497720647</v>
      </c>
      <c r="AU27" s="70">
        <f>(AN27/1.358727)*(292.626/245.121)/10</f>
        <v>199906.44175390259</v>
      </c>
      <c r="AV27" t="s">
        <v>2868</v>
      </c>
      <c r="AW27">
        <v>2022</v>
      </c>
      <c r="AX27" t="s">
        <v>1998</v>
      </c>
      <c r="AY27" t="s">
        <v>1999</v>
      </c>
      <c r="AZ27" t="s">
        <v>2011</v>
      </c>
      <c r="BA27" t="s">
        <v>140</v>
      </c>
      <c r="BB27" t="s">
        <v>2195</v>
      </c>
      <c r="BC27" t="s">
        <v>2195</v>
      </c>
      <c r="BD27" t="s">
        <v>2200</v>
      </c>
      <c r="BE27" t="s">
        <v>2000</v>
      </c>
      <c r="BF27" t="s">
        <v>2000</v>
      </c>
      <c r="BG27" t="s">
        <v>2960</v>
      </c>
      <c r="BH27" s="119"/>
      <c r="BI27" s="123" t="s">
        <v>2869</v>
      </c>
      <c r="BJ27" s="82" t="s">
        <v>2870</v>
      </c>
      <c r="BK27" t="s">
        <v>2900</v>
      </c>
      <c r="BL27" s="78" t="s">
        <v>2871</v>
      </c>
      <c r="BM27" s="77" t="s">
        <v>2872</v>
      </c>
      <c r="BN27" s="76" t="s">
        <v>1994</v>
      </c>
    </row>
    <row r="28" spans="1:66" ht="18.95" customHeight="1" x14ac:dyDescent="0.25">
      <c r="A28" t="s">
        <v>2999</v>
      </c>
      <c r="B28" t="s">
        <v>2016</v>
      </c>
      <c r="C28" s="112" t="s">
        <v>3068</v>
      </c>
      <c r="D28" t="s">
        <v>2894</v>
      </c>
      <c r="E28" t="s">
        <v>2895</v>
      </c>
      <c r="F28" s="99" t="s">
        <v>2905</v>
      </c>
      <c r="G28" s="95">
        <v>2026</v>
      </c>
      <c r="H28" t="s">
        <v>2140</v>
      </c>
      <c r="I28" t="s">
        <v>61</v>
      </c>
      <c r="J28" t="s">
        <v>2001</v>
      </c>
      <c r="K28" t="s">
        <v>2004</v>
      </c>
      <c r="L28" s="71" t="s">
        <v>1806</v>
      </c>
      <c r="M28" s="71" t="s">
        <v>862</v>
      </c>
      <c r="N28" s="71" t="s">
        <v>968</v>
      </c>
      <c r="O28" s="71" t="s">
        <v>1002</v>
      </c>
      <c r="P28" s="71" t="s">
        <v>1072</v>
      </c>
      <c r="Q28" s="71" t="s">
        <v>1073</v>
      </c>
      <c r="R28" s="71" t="s">
        <v>2957</v>
      </c>
      <c r="S28" s="73"/>
      <c r="T28" s="74" t="s">
        <v>2956</v>
      </c>
      <c r="U28" s="72" t="s">
        <v>1995</v>
      </c>
      <c r="V28" s="72" t="s">
        <v>1995</v>
      </c>
      <c r="W28" s="72" t="s">
        <v>2001</v>
      </c>
      <c r="X28" s="72" t="s">
        <v>2001</v>
      </c>
      <c r="Y28" s="72" t="s">
        <v>2241</v>
      </c>
      <c r="Z28" s="72" t="s">
        <v>1984</v>
      </c>
      <c r="AA28" s="72" t="s">
        <v>1984</v>
      </c>
      <c r="AB28" s="75" t="s">
        <v>1861</v>
      </c>
      <c r="AC28" s="36" t="s">
        <v>1865</v>
      </c>
      <c r="AD28" s="36" t="s">
        <v>2876</v>
      </c>
      <c r="AE28" s="36" t="s">
        <v>67</v>
      </c>
      <c r="AF28" s="36" t="s">
        <v>74</v>
      </c>
      <c r="AG28" t="s">
        <v>2896</v>
      </c>
      <c r="AH28" s="36" t="s">
        <v>1996</v>
      </c>
      <c r="AI28">
        <v>2019</v>
      </c>
      <c r="AJ28">
        <v>2024</v>
      </c>
      <c r="AK28" s="50">
        <v>2019</v>
      </c>
      <c r="AL28" s="50">
        <v>2024</v>
      </c>
      <c r="AM28" s="82" t="s">
        <v>1997</v>
      </c>
      <c r="AN28" s="83">
        <f>(15225*5)+(7234*5)+175000+10000</f>
        <v>297295</v>
      </c>
      <c r="AO28" s="83"/>
      <c r="AP28" s="85"/>
      <c r="AQ28" s="70">
        <f>AN28*0.6992*(111.175/143.6)</f>
        <v>160931.74596239557</v>
      </c>
      <c r="AR28" s="70"/>
      <c r="AS28" s="70">
        <f>(AN28)/5</f>
        <v>59459</v>
      </c>
      <c r="AT28" s="70">
        <f>AN28*0.6992*(111.175/143.6)/5</f>
        <v>32186.349192479112</v>
      </c>
      <c r="AU28" s="70"/>
      <c r="AV28" t="s">
        <v>2868</v>
      </c>
      <c r="AW28">
        <v>2026</v>
      </c>
      <c r="AX28" t="s">
        <v>2009</v>
      </c>
      <c r="AY28" t="s">
        <v>1999</v>
      </c>
      <c r="AZ28" t="s">
        <v>2011</v>
      </c>
      <c r="BA28" t="s">
        <v>140</v>
      </c>
      <c r="BB28" t="s">
        <v>2195</v>
      </c>
      <c r="BC28" t="s">
        <v>2195</v>
      </c>
      <c r="BD28" t="s">
        <v>2200</v>
      </c>
      <c r="BE28" t="s">
        <v>2000</v>
      </c>
      <c r="BF28" t="s">
        <v>2000</v>
      </c>
      <c r="BG28" t="s">
        <v>2897</v>
      </c>
      <c r="BH28" s="120"/>
      <c r="BI28" s="122" t="s">
        <v>2869</v>
      </c>
      <c r="BJ28" s="79" t="s">
        <v>2870</v>
      </c>
      <c r="BK28" t="s">
        <v>2897</v>
      </c>
      <c r="BL28" s="80" t="s">
        <v>2871</v>
      </c>
      <c r="BM28" s="77" t="s">
        <v>2872</v>
      </c>
      <c r="BN28" s="76" t="s">
        <v>1994</v>
      </c>
    </row>
    <row r="29" spans="1:66" ht="18.95" customHeight="1" x14ac:dyDescent="0.25">
      <c r="A29" t="s">
        <v>3000</v>
      </c>
      <c r="B29" t="s">
        <v>3014</v>
      </c>
      <c r="C29" s="66" t="s">
        <v>3069</v>
      </c>
      <c r="D29" t="s">
        <v>2899</v>
      </c>
      <c r="E29" t="s">
        <v>2893</v>
      </c>
      <c r="F29" s="94" t="s">
        <v>2905</v>
      </c>
      <c r="G29" s="95">
        <v>2023</v>
      </c>
      <c r="H29" t="s">
        <v>2140</v>
      </c>
      <c r="I29" t="s">
        <v>61</v>
      </c>
      <c r="J29" t="s">
        <v>2001</v>
      </c>
      <c r="K29" t="s">
        <v>2004</v>
      </c>
      <c r="L29" s="71" t="s">
        <v>1806</v>
      </c>
      <c r="M29" s="71" t="s">
        <v>862</v>
      </c>
      <c r="N29" s="71" t="s">
        <v>968</v>
      </c>
      <c r="O29" s="71" t="s">
        <v>1002</v>
      </c>
      <c r="P29" s="71" t="s">
        <v>1072</v>
      </c>
      <c r="Q29" s="71" t="s">
        <v>1073</v>
      </c>
      <c r="R29" s="71" t="s">
        <v>2962</v>
      </c>
      <c r="S29" s="73"/>
      <c r="T29" s="74" t="s">
        <v>2961</v>
      </c>
      <c r="U29" s="72" t="s">
        <v>1995</v>
      </c>
      <c r="V29" s="72" t="s">
        <v>1995</v>
      </c>
      <c r="W29" s="72" t="s">
        <v>2001</v>
      </c>
      <c r="X29" s="72" t="s">
        <v>2001</v>
      </c>
      <c r="Y29" s="72" t="s">
        <v>2241</v>
      </c>
      <c r="Z29" s="72" t="s">
        <v>1984</v>
      </c>
      <c r="AA29" s="72" t="s">
        <v>1992</v>
      </c>
      <c r="AB29" s="75" t="s">
        <v>1861</v>
      </c>
      <c r="AC29" s="36" t="s">
        <v>1865</v>
      </c>
      <c r="AD29" s="36" t="s">
        <v>2877</v>
      </c>
      <c r="AE29" s="36" t="s">
        <v>2964</v>
      </c>
      <c r="AF29" s="36" t="s">
        <v>2965</v>
      </c>
      <c r="AG29" t="s">
        <v>2963</v>
      </c>
      <c r="AH29" s="36" t="s">
        <v>1996</v>
      </c>
      <c r="AI29">
        <v>2015</v>
      </c>
      <c r="AJ29">
        <v>2020</v>
      </c>
      <c r="AK29" s="50">
        <v>2015</v>
      </c>
      <c r="AL29" s="50">
        <v>2020</v>
      </c>
      <c r="AM29" s="82" t="s">
        <v>1997</v>
      </c>
      <c r="AN29" s="82">
        <f>((184*273.4)+(696*47.1)+(121*546.3)+(505*702.8)+(204*231.1)+(604*334.2))</f>
        <v>753104.7</v>
      </c>
      <c r="AO29"/>
      <c r="AP29"/>
      <c r="AQ29" s="70">
        <f t="shared" ref="AQ29" si="13">AN29*0.7513*(111.175/119.425)</f>
        <v>526721.00151898048</v>
      </c>
      <c r="AR29" s="70">
        <f t="shared" ref="AR29" si="14">(AN29/1.395724)*(270.973/245.121)</f>
        <v>596487.45102788031</v>
      </c>
      <c r="AS29" s="70">
        <f>(AN29)/5</f>
        <v>150620.94</v>
      </c>
      <c r="AT29" s="70">
        <f>AN29*0.7513*(111.175/119.425)/5</f>
        <v>105344.2003037961</v>
      </c>
      <c r="AU29" s="70">
        <f>(AN29/1.395724)*(270.973/245.121)/5</f>
        <v>119297.49020557606</v>
      </c>
      <c r="AV29" t="s">
        <v>2868</v>
      </c>
      <c r="AW29">
        <v>2021</v>
      </c>
      <c r="AX29" t="s">
        <v>2009</v>
      </c>
      <c r="AY29" t="s">
        <v>1999</v>
      </c>
      <c r="AZ29" t="s">
        <v>2011</v>
      </c>
      <c r="BA29" t="s">
        <v>140</v>
      </c>
      <c r="BB29" t="s">
        <v>2195</v>
      </c>
      <c r="BC29" t="s">
        <v>2195</v>
      </c>
      <c r="BD29" t="s">
        <v>2200</v>
      </c>
      <c r="BE29" t="s">
        <v>2000</v>
      </c>
      <c r="BF29" t="s">
        <v>2000</v>
      </c>
      <c r="BG29" t="s">
        <v>2898</v>
      </c>
      <c r="BH29" s="121"/>
      <c r="BI29" s="122" t="s">
        <v>2869</v>
      </c>
      <c r="BJ29" s="79" t="s">
        <v>2870</v>
      </c>
      <c r="BK29" t="s">
        <v>2898</v>
      </c>
      <c r="BL29" s="80" t="s">
        <v>2871</v>
      </c>
      <c r="BM29" s="77" t="s">
        <v>2872</v>
      </c>
      <c r="BN29" s="76" t="s">
        <v>1994</v>
      </c>
    </row>
    <row r="30" spans="1:66" ht="18.95" customHeight="1" x14ac:dyDescent="0.25">
      <c r="A30" t="s">
        <v>3001</v>
      </c>
      <c r="B30" t="s">
        <v>2016</v>
      </c>
      <c r="C30" s="113" t="s">
        <v>3070</v>
      </c>
      <c r="D30" t="s">
        <v>2901</v>
      </c>
      <c r="E30" t="s">
        <v>2902</v>
      </c>
      <c r="F30" s="100" t="s">
        <v>2903</v>
      </c>
      <c r="G30" s="95">
        <v>2007</v>
      </c>
      <c r="H30" t="s">
        <v>2140</v>
      </c>
      <c r="I30" t="s">
        <v>61</v>
      </c>
      <c r="J30" t="s">
        <v>2001</v>
      </c>
      <c r="K30" t="s">
        <v>2004</v>
      </c>
      <c r="L30" s="71" t="s">
        <v>1806</v>
      </c>
      <c r="M30" s="71" t="s">
        <v>862</v>
      </c>
      <c r="N30" s="71" t="s">
        <v>968</v>
      </c>
      <c r="O30" s="71" t="s">
        <v>1002</v>
      </c>
      <c r="P30" s="71" t="s">
        <v>1072</v>
      </c>
      <c r="Q30" s="71" t="s">
        <v>1073</v>
      </c>
      <c r="R30" s="71" t="s">
        <v>2866</v>
      </c>
      <c r="S30" s="73"/>
      <c r="T30" s="74" t="s">
        <v>2867</v>
      </c>
      <c r="U30" s="72" t="s">
        <v>1995</v>
      </c>
      <c r="V30" s="72" t="s">
        <v>1995</v>
      </c>
      <c r="W30" s="72" t="s">
        <v>2001</v>
      </c>
      <c r="X30" s="72" t="s">
        <v>2001</v>
      </c>
      <c r="Y30" s="72" t="s">
        <v>2241</v>
      </c>
      <c r="Z30" s="72" t="s">
        <v>1992</v>
      </c>
      <c r="AA30" s="72" t="s">
        <v>1992</v>
      </c>
      <c r="AB30" t="s">
        <v>148</v>
      </c>
      <c r="AC30" s="36" t="s">
        <v>2816</v>
      </c>
      <c r="AD30" s="36" t="s">
        <v>2904</v>
      </c>
      <c r="AE30" s="36" t="s">
        <v>67</v>
      </c>
      <c r="AF30" s="36" t="s">
        <v>74</v>
      </c>
      <c r="AG30">
        <v>2003</v>
      </c>
      <c r="AH30" s="36" t="s">
        <v>2007</v>
      </c>
      <c r="AI30">
        <v>2003</v>
      </c>
      <c r="AJ30">
        <v>2003</v>
      </c>
      <c r="AK30" s="50">
        <v>2003</v>
      </c>
      <c r="AL30" s="50">
        <v>2003</v>
      </c>
      <c r="AM30" t="s">
        <v>2008</v>
      </c>
      <c r="AN30">
        <v>3360000</v>
      </c>
      <c r="AO30"/>
      <c r="AP30"/>
      <c r="AQ30" s="91">
        <f>(AN30/57.74087375)*(245.121/184)</f>
        <v>77520.867246932728</v>
      </c>
      <c r="AR30" s="91">
        <f>(AN30/28.4689093869673)*(184/245.121)</f>
        <v>88594.29378276426</v>
      </c>
      <c r="AS30" s="70">
        <f t="shared" si="2"/>
        <v>3360000</v>
      </c>
      <c r="AT30" s="91">
        <f>(AN30/57.74087375)*(245.121/184)</f>
        <v>77520.867246932728</v>
      </c>
      <c r="AU30" s="91">
        <f>(AN30/28.4689093869673)*(184/245.121)</f>
        <v>88594.29378276426</v>
      </c>
      <c r="AV30" s="53" t="s">
        <v>2906</v>
      </c>
      <c r="AW30">
        <v>2003</v>
      </c>
      <c r="AX30" t="s">
        <v>1998</v>
      </c>
      <c r="AY30" t="s">
        <v>2010</v>
      </c>
      <c r="AZ30" t="s">
        <v>2011</v>
      </c>
      <c r="BA30" t="s">
        <v>139</v>
      </c>
      <c r="BB30" t="s">
        <v>2194</v>
      </c>
      <c r="BC30" t="s">
        <v>2194</v>
      </c>
      <c r="BD30" t="s">
        <v>2001</v>
      </c>
      <c r="BE30" t="s">
        <v>2012</v>
      </c>
      <c r="BF30" t="s">
        <v>2012</v>
      </c>
      <c r="BG30" t="s">
        <v>2907</v>
      </c>
      <c r="BI30" s="123" t="s">
        <v>2869</v>
      </c>
      <c r="BJ30" s="79" t="s">
        <v>2870</v>
      </c>
      <c r="BK30" t="s">
        <v>2921</v>
      </c>
      <c r="BL30" s="80" t="s">
        <v>2871</v>
      </c>
      <c r="BM30" s="77" t="s">
        <v>2872</v>
      </c>
      <c r="BN30" s="128" t="s">
        <v>1994</v>
      </c>
    </row>
    <row r="31" spans="1:66" ht="18.95" customHeight="1" x14ac:dyDescent="0.25">
      <c r="A31" t="s">
        <v>3002</v>
      </c>
      <c r="B31" t="s">
        <v>3014</v>
      </c>
      <c r="C31" t="s">
        <v>3071</v>
      </c>
      <c r="D31" s="53" t="s">
        <v>2922</v>
      </c>
      <c r="E31" t="s">
        <v>2923</v>
      </c>
      <c r="F31" s="101" t="s">
        <v>2924</v>
      </c>
      <c r="G31" s="102">
        <v>2023</v>
      </c>
      <c r="H31" t="s">
        <v>2140</v>
      </c>
      <c r="I31" t="s">
        <v>61</v>
      </c>
      <c r="J31" t="s">
        <v>2001</v>
      </c>
      <c r="K31" t="s">
        <v>2004</v>
      </c>
      <c r="L31" s="71" t="s">
        <v>1806</v>
      </c>
      <c r="M31" s="71" t="s">
        <v>862</v>
      </c>
      <c r="N31" s="71" t="s">
        <v>968</v>
      </c>
      <c r="O31" s="71" t="s">
        <v>1002</v>
      </c>
      <c r="P31" s="71" t="s">
        <v>1072</v>
      </c>
      <c r="Q31" s="22" t="s">
        <v>1073</v>
      </c>
      <c r="R31" s="22" t="s">
        <v>344</v>
      </c>
      <c r="T31" s="47" t="s">
        <v>2936</v>
      </c>
      <c r="U31" s="72" t="s">
        <v>1995</v>
      </c>
      <c r="V31" s="72" t="s">
        <v>1995</v>
      </c>
      <c r="W31" s="72" t="s">
        <v>2001</v>
      </c>
      <c r="X31" s="72" t="s">
        <v>2001</v>
      </c>
      <c r="Y31" s="72" t="s">
        <v>2241</v>
      </c>
      <c r="Z31" s="72" t="s">
        <v>1992</v>
      </c>
      <c r="AA31" s="72" t="s">
        <v>1992</v>
      </c>
      <c r="AB31" t="s">
        <v>1861</v>
      </c>
      <c r="AC31" s="36" t="s">
        <v>1865</v>
      </c>
      <c r="AD31" s="36" t="s">
        <v>2910</v>
      </c>
      <c r="AE31" s="36" t="s">
        <v>67</v>
      </c>
      <c r="AF31" s="36" t="s">
        <v>2911</v>
      </c>
      <c r="AG31">
        <v>2019</v>
      </c>
      <c r="AH31" s="36" t="s">
        <v>2007</v>
      </c>
      <c r="AI31">
        <v>2019</v>
      </c>
      <c r="AJ31">
        <v>2019</v>
      </c>
      <c r="AK31" s="70">
        <v>2019</v>
      </c>
      <c r="AL31" s="70">
        <v>2019</v>
      </c>
      <c r="AM31" t="s">
        <v>1997</v>
      </c>
      <c r="AN31">
        <f>SUM(2475+183)*19 + (166*6.31)</f>
        <v>51549.46</v>
      </c>
      <c r="AO31"/>
      <c r="AP31"/>
      <c r="AQ31" s="70">
        <f>AN31*0.6906*(111.175/116.1)</f>
        <v>34089.89100279328</v>
      </c>
      <c r="AR31" s="70">
        <f>(AN31/1.431163)*(258.856/245.121)</f>
        <v>38037.567547816034</v>
      </c>
      <c r="AS31" s="70">
        <f t="shared" si="2"/>
        <v>51549.46</v>
      </c>
      <c r="AT31" s="70">
        <f>AN31*0.6906*(111.175/116.1)</f>
        <v>34089.89100279328</v>
      </c>
      <c r="AU31" s="70">
        <f>(AN31/1.431163)*(258.856/245.121)</f>
        <v>38037.567547816034</v>
      </c>
      <c r="AV31" t="s">
        <v>2868</v>
      </c>
      <c r="AW31">
        <v>2020</v>
      </c>
      <c r="AX31" t="s">
        <v>2009</v>
      </c>
      <c r="AY31" t="s">
        <v>1999</v>
      </c>
      <c r="AZ31" t="s">
        <v>2011</v>
      </c>
      <c r="BA31" t="s">
        <v>140</v>
      </c>
      <c r="BB31" t="s">
        <v>2195</v>
      </c>
      <c r="BC31" t="s">
        <v>2195</v>
      </c>
      <c r="BD31" t="s">
        <v>2200</v>
      </c>
      <c r="BE31" t="s">
        <v>2000</v>
      </c>
      <c r="BF31" t="s">
        <v>2000</v>
      </c>
      <c r="BG31" t="s">
        <v>2909</v>
      </c>
      <c r="BI31" s="124" t="s">
        <v>2869</v>
      </c>
      <c r="BJ31" s="79" t="s">
        <v>2870</v>
      </c>
      <c r="BK31" t="s">
        <v>2921</v>
      </c>
      <c r="BL31" s="80" t="s">
        <v>2871</v>
      </c>
      <c r="BM31" s="77" t="s">
        <v>2872</v>
      </c>
      <c r="BN31" s="127" t="s">
        <v>1994</v>
      </c>
    </row>
    <row r="32" spans="1:66" ht="18.95" customHeight="1" x14ac:dyDescent="0.25">
      <c r="A32" t="s">
        <v>3003</v>
      </c>
      <c r="B32" t="s">
        <v>3014</v>
      </c>
      <c r="C32" t="s">
        <v>3071</v>
      </c>
      <c r="D32" s="53" t="s">
        <v>2922</v>
      </c>
      <c r="E32" t="s">
        <v>2923</v>
      </c>
      <c r="F32" s="67" t="s">
        <v>2924</v>
      </c>
      <c r="G32">
        <v>2023</v>
      </c>
      <c r="H32" t="s">
        <v>2140</v>
      </c>
      <c r="I32" t="s">
        <v>61</v>
      </c>
      <c r="J32" t="s">
        <v>2001</v>
      </c>
      <c r="K32" t="s">
        <v>2004</v>
      </c>
      <c r="L32" s="71" t="s">
        <v>1806</v>
      </c>
      <c r="M32" s="71" t="s">
        <v>862</v>
      </c>
      <c r="N32" s="71" t="s">
        <v>968</v>
      </c>
      <c r="O32" s="71" t="s">
        <v>1002</v>
      </c>
      <c r="P32" s="71" t="s">
        <v>1072</v>
      </c>
      <c r="Q32" s="22" t="s">
        <v>1073</v>
      </c>
      <c r="R32" s="22" t="s">
        <v>344</v>
      </c>
      <c r="T32" s="47" t="s">
        <v>2936</v>
      </c>
      <c r="U32" s="72" t="s">
        <v>1995</v>
      </c>
      <c r="V32" s="72" t="s">
        <v>1995</v>
      </c>
      <c r="W32" s="72" t="s">
        <v>2001</v>
      </c>
      <c r="X32" s="72" t="s">
        <v>2001</v>
      </c>
      <c r="Y32" s="72" t="s">
        <v>2241</v>
      </c>
      <c r="Z32" s="72" t="s">
        <v>1984</v>
      </c>
      <c r="AA32" s="72" t="s">
        <v>1992</v>
      </c>
      <c r="AB32" t="s">
        <v>1861</v>
      </c>
      <c r="AC32" s="36" t="s">
        <v>1865</v>
      </c>
      <c r="AD32" s="36" t="s">
        <v>2879</v>
      </c>
      <c r="AE32" s="36" t="s">
        <v>67</v>
      </c>
      <c r="AF32" s="36" t="s">
        <v>2912</v>
      </c>
      <c r="AG32">
        <v>2019</v>
      </c>
      <c r="AH32" s="36" t="s">
        <v>2007</v>
      </c>
      <c r="AI32">
        <v>2019</v>
      </c>
      <c r="AJ32">
        <v>2019</v>
      </c>
      <c r="AK32" s="70">
        <v>2019</v>
      </c>
      <c r="AL32" s="70">
        <v>2019</v>
      </c>
      <c r="AM32" t="s">
        <v>1997</v>
      </c>
      <c r="AN32">
        <f>SUM(1672+183)*2.62+(27*6.31)</f>
        <v>5030.47</v>
      </c>
      <c r="AO32"/>
      <c r="AP32"/>
      <c r="AQ32" s="70">
        <f t="shared" ref="AQ32:AQ42" si="15">AN32*0.6906*(111.175/116.1)</f>
        <v>3326.6725586033594</v>
      </c>
      <c r="AR32" s="70">
        <f t="shared" ref="AR32:AR42" si="16">(AN32/1.431163)*(258.856/245.121)</f>
        <v>3711.907795392272</v>
      </c>
      <c r="AS32" s="70">
        <f t="shared" si="2"/>
        <v>5030.47</v>
      </c>
      <c r="AT32" s="70">
        <f t="shared" ref="AT32:AT42" si="17">AN32*0.6906*(111.175/116.1)</f>
        <v>3326.6725586033594</v>
      </c>
      <c r="AU32" s="70">
        <f t="shared" ref="AU32:AU42" si="18">(AN32/1.431163)*(258.856/245.121)</f>
        <v>3711.907795392272</v>
      </c>
      <c r="AV32" t="s">
        <v>2868</v>
      </c>
      <c r="AW32">
        <v>2020</v>
      </c>
      <c r="AX32" t="s">
        <v>2009</v>
      </c>
      <c r="AY32" t="s">
        <v>1999</v>
      </c>
      <c r="AZ32" t="s">
        <v>2011</v>
      </c>
      <c r="BA32" t="s">
        <v>140</v>
      </c>
      <c r="BB32" t="s">
        <v>2195</v>
      </c>
      <c r="BC32" t="s">
        <v>2195</v>
      </c>
      <c r="BD32" t="s">
        <v>2200</v>
      </c>
      <c r="BE32" t="s">
        <v>2000</v>
      </c>
      <c r="BF32" t="s">
        <v>2000</v>
      </c>
      <c r="BG32" t="s">
        <v>2909</v>
      </c>
      <c r="BI32" s="123" t="s">
        <v>2869</v>
      </c>
      <c r="BJ32" s="79" t="s">
        <v>2870</v>
      </c>
      <c r="BK32" t="s">
        <v>2921</v>
      </c>
      <c r="BL32" s="80" t="s">
        <v>2871</v>
      </c>
      <c r="BM32" s="77" t="s">
        <v>2872</v>
      </c>
      <c r="BN32" s="127" t="s">
        <v>1994</v>
      </c>
    </row>
    <row r="33" spans="1:66" ht="18.95" customHeight="1" x14ac:dyDescent="0.25">
      <c r="A33" t="s">
        <v>3004</v>
      </c>
      <c r="B33" t="s">
        <v>3014</v>
      </c>
      <c r="C33" t="s">
        <v>3071</v>
      </c>
      <c r="D33" s="53" t="s">
        <v>2922</v>
      </c>
      <c r="E33" t="s">
        <v>2923</v>
      </c>
      <c r="F33" s="67" t="s">
        <v>2924</v>
      </c>
      <c r="G33">
        <v>2023</v>
      </c>
      <c r="H33" t="s">
        <v>2140</v>
      </c>
      <c r="I33" t="s">
        <v>61</v>
      </c>
      <c r="J33" t="s">
        <v>2001</v>
      </c>
      <c r="K33" t="s">
        <v>2004</v>
      </c>
      <c r="L33" s="71" t="s">
        <v>1806</v>
      </c>
      <c r="M33" s="71" t="s">
        <v>862</v>
      </c>
      <c r="N33" s="71" t="s">
        <v>968</v>
      </c>
      <c r="O33" s="71" t="s">
        <v>1002</v>
      </c>
      <c r="P33" s="71" t="s">
        <v>1072</v>
      </c>
      <c r="Q33" s="22" t="s">
        <v>1073</v>
      </c>
      <c r="R33" s="22" t="s">
        <v>344</v>
      </c>
      <c r="T33" s="47" t="s">
        <v>2936</v>
      </c>
      <c r="U33" s="72" t="s">
        <v>1995</v>
      </c>
      <c r="V33" s="72" t="s">
        <v>1995</v>
      </c>
      <c r="W33" s="72" t="s">
        <v>2001</v>
      </c>
      <c r="X33" s="72" t="s">
        <v>2001</v>
      </c>
      <c r="Y33" s="72" t="s">
        <v>2241</v>
      </c>
      <c r="Z33" s="72" t="s">
        <v>1984</v>
      </c>
      <c r="AA33" s="72" t="s">
        <v>1992</v>
      </c>
      <c r="AB33" t="s">
        <v>1861</v>
      </c>
      <c r="AC33" s="36" t="s">
        <v>1865</v>
      </c>
      <c r="AD33" s="36" t="s">
        <v>2875</v>
      </c>
      <c r="AE33" s="36" t="s">
        <v>67</v>
      </c>
      <c r="AF33" s="36" t="s">
        <v>2913</v>
      </c>
      <c r="AG33">
        <v>2020</v>
      </c>
      <c r="AH33" s="36" t="s">
        <v>2007</v>
      </c>
      <c r="AI33">
        <v>2020</v>
      </c>
      <c r="AJ33">
        <v>2020</v>
      </c>
      <c r="AK33" s="70">
        <v>2020</v>
      </c>
      <c r="AL33" s="70">
        <v>2020</v>
      </c>
      <c r="AM33" t="s">
        <v>1997</v>
      </c>
      <c r="AN33">
        <f>SUM(1534+183)*20+(778*6.31)</f>
        <v>39249.18</v>
      </c>
      <c r="AO33"/>
      <c r="AP33"/>
      <c r="AQ33" s="70">
        <f t="shared" si="15"/>
        <v>25955.660217372093</v>
      </c>
      <c r="AR33" s="70">
        <f t="shared" si="16"/>
        <v>28961.376810666687</v>
      </c>
      <c r="AS33" s="70">
        <f t="shared" si="2"/>
        <v>39249.18</v>
      </c>
      <c r="AT33" s="70">
        <f t="shared" si="17"/>
        <v>25955.660217372093</v>
      </c>
      <c r="AU33" s="70">
        <f t="shared" si="18"/>
        <v>28961.376810666687</v>
      </c>
      <c r="AV33" t="s">
        <v>2868</v>
      </c>
      <c r="AW33">
        <v>2020</v>
      </c>
      <c r="AX33" t="s">
        <v>2009</v>
      </c>
      <c r="AY33" t="s">
        <v>1999</v>
      </c>
      <c r="AZ33" t="s">
        <v>2011</v>
      </c>
      <c r="BA33" t="s">
        <v>140</v>
      </c>
      <c r="BB33" t="s">
        <v>2195</v>
      </c>
      <c r="BC33" t="s">
        <v>2195</v>
      </c>
      <c r="BD33" t="s">
        <v>2200</v>
      </c>
      <c r="BE33" t="s">
        <v>2000</v>
      </c>
      <c r="BF33" t="s">
        <v>2000</v>
      </c>
      <c r="BG33" t="s">
        <v>2909</v>
      </c>
      <c r="BI33" s="123" t="s">
        <v>2869</v>
      </c>
      <c r="BJ33" s="79" t="s">
        <v>2870</v>
      </c>
      <c r="BK33" t="s">
        <v>2921</v>
      </c>
      <c r="BL33" s="80" t="s">
        <v>2871</v>
      </c>
      <c r="BM33" s="77" t="s">
        <v>2872</v>
      </c>
      <c r="BN33" s="127" t="s">
        <v>1994</v>
      </c>
    </row>
    <row r="34" spans="1:66" ht="18.95" customHeight="1" x14ac:dyDescent="0.25">
      <c r="A34" t="s">
        <v>3005</v>
      </c>
      <c r="B34" t="s">
        <v>3014</v>
      </c>
      <c r="C34" t="s">
        <v>3071</v>
      </c>
      <c r="D34" s="53" t="s">
        <v>2922</v>
      </c>
      <c r="E34" t="s">
        <v>2923</v>
      </c>
      <c r="F34" s="67" t="s">
        <v>2924</v>
      </c>
      <c r="G34">
        <v>2023</v>
      </c>
      <c r="H34" t="s">
        <v>2140</v>
      </c>
      <c r="I34" t="s">
        <v>61</v>
      </c>
      <c r="J34" t="s">
        <v>2001</v>
      </c>
      <c r="K34" t="s">
        <v>2004</v>
      </c>
      <c r="L34" s="71" t="s">
        <v>1806</v>
      </c>
      <c r="M34" s="71" t="s">
        <v>862</v>
      </c>
      <c r="N34" s="71" t="s">
        <v>968</v>
      </c>
      <c r="O34" s="71" t="s">
        <v>1002</v>
      </c>
      <c r="P34" s="71" t="s">
        <v>1072</v>
      </c>
      <c r="Q34" s="22" t="s">
        <v>1073</v>
      </c>
      <c r="R34" s="22" t="s">
        <v>344</v>
      </c>
      <c r="T34" s="47" t="s">
        <v>2936</v>
      </c>
      <c r="U34" s="72" t="s">
        <v>1995</v>
      </c>
      <c r="V34" s="72" t="s">
        <v>1995</v>
      </c>
      <c r="W34" s="72" t="s">
        <v>2001</v>
      </c>
      <c r="X34" s="72" t="s">
        <v>2001</v>
      </c>
      <c r="Y34" s="72" t="s">
        <v>2241</v>
      </c>
      <c r="Z34" s="72" t="s">
        <v>1984</v>
      </c>
      <c r="AA34" s="72" t="s">
        <v>1992</v>
      </c>
      <c r="AB34" t="s">
        <v>1861</v>
      </c>
      <c r="AC34" s="36" t="s">
        <v>1865</v>
      </c>
      <c r="AD34" s="36" t="s">
        <v>2875</v>
      </c>
      <c r="AE34" s="36" t="s">
        <v>67</v>
      </c>
      <c r="AF34" s="36" t="s">
        <v>2914</v>
      </c>
      <c r="AG34">
        <v>2017</v>
      </c>
      <c r="AH34" s="36" t="s">
        <v>2007</v>
      </c>
      <c r="AI34">
        <v>2017</v>
      </c>
      <c r="AJ34">
        <v>2017</v>
      </c>
      <c r="AK34" s="70">
        <v>2017</v>
      </c>
      <c r="AL34" s="70">
        <v>2017</v>
      </c>
      <c r="AM34" t="s">
        <v>1997</v>
      </c>
      <c r="AN34">
        <f>SUM(1534+183)*17.2+(557*6.31)</f>
        <v>33047.07</v>
      </c>
      <c r="AO34"/>
      <c r="AP34"/>
      <c r="AQ34" s="70">
        <f t="shared" si="15"/>
        <v>21854.17682865504</v>
      </c>
      <c r="AR34" s="70">
        <f t="shared" si="16"/>
        <v>24384.933564433162</v>
      </c>
      <c r="AS34" s="70">
        <f t="shared" si="2"/>
        <v>33047.07</v>
      </c>
      <c r="AT34" s="70">
        <f t="shared" si="17"/>
        <v>21854.17682865504</v>
      </c>
      <c r="AU34" s="70">
        <f t="shared" si="18"/>
        <v>24384.933564433162</v>
      </c>
      <c r="AV34" t="s">
        <v>2868</v>
      </c>
      <c r="AW34">
        <v>2020</v>
      </c>
      <c r="AX34" t="s">
        <v>2009</v>
      </c>
      <c r="AY34" t="s">
        <v>1999</v>
      </c>
      <c r="AZ34" t="s">
        <v>2011</v>
      </c>
      <c r="BA34" t="s">
        <v>140</v>
      </c>
      <c r="BB34" t="s">
        <v>2195</v>
      </c>
      <c r="BC34" t="s">
        <v>2195</v>
      </c>
      <c r="BD34" t="s">
        <v>2200</v>
      </c>
      <c r="BE34" t="s">
        <v>2000</v>
      </c>
      <c r="BF34" t="s">
        <v>2000</v>
      </c>
      <c r="BG34" t="s">
        <v>2909</v>
      </c>
      <c r="BI34" s="122" t="s">
        <v>2869</v>
      </c>
      <c r="BJ34" s="79" t="s">
        <v>2870</v>
      </c>
      <c r="BK34" t="s">
        <v>2921</v>
      </c>
      <c r="BL34" s="80" t="s">
        <v>2871</v>
      </c>
      <c r="BM34" s="77" t="s">
        <v>2872</v>
      </c>
      <c r="BN34" s="127" t="s">
        <v>1994</v>
      </c>
    </row>
    <row r="35" spans="1:66" ht="18.95" customHeight="1" x14ac:dyDescent="0.25">
      <c r="A35" t="s">
        <v>3006</v>
      </c>
      <c r="B35" t="s">
        <v>3014</v>
      </c>
      <c r="C35" t="s">
        <v>3071</v>
      </c>
      <c r="D35" s="53" t="s">
        <v>2922</v>
      </c>
      <c r="E35" t="s">
        <v>2923</v>
      </c>
      <c r="F35" s="67" t="s">
        <v>2924</v>
      </c>
      <c r="G35">
        <v>2023</v>
      </c>
      <c r="H35" t="s">
        <v>2140</v>
      </c>
      <c r="I35" t="s">
        <v>61</v>
      </c>
      <c r="J35" t="s">
        <v>2001</v>
      </c>
      <c r="K35" t="s">
        <v>2004</v>
      </c>
      <c r="L35" s="71" t="s">
        <v>1806</v>
      </c>
      <c r="M35" s="71" t="s">
        <v>862</v>
      </c>
      <c r="N35" s="71" t="s">
        <v>968</v>
      </c>
      <c r="O35" s="71" t="s">
        <v>1002</v>
      </c>
      <c r="P35" s="71" t="s">
        <v>1072</v>
      </c>
      <c r="Q35" s="22" t="s">
        <v>1073</v>
      </c>
      <c r="R35" s="22" t="s">
        <v>344</v>
      </c>
      <c r="T35" s="47" t="s">
        <v>2936</v>
      </c>
      <c r="U35" s="72" t="s">
        <v>1995</v>
      </c>
      <c r="V35" s="72" t="s">
        <v>1995</v>
      </c>
      <c r="W35" s="72" t="s">
        <v>2001</v>
      </c>
      <c r="X35" s="72" t="s">
        <v>2001</v>
      </c>
      <c r="Y35" s="72" t="s">
        <v>2241</v>
      </c>
      <c r="Z35" s="72" t="s">
        <v>1984</v>
      </c>
      <c r="AA35" s="72" t="s">
        <v>1992</v>
      </c>
      <c r="AB35" t="s">
        <v>1861</v>
      </c>
      <c r="AC35" s="36" t="s">
        <v>1865</v>
      </c>
      <c r="AD35" s="36" t="s">
        <v>2875</v>
      </c>
      <c r="AE35" s="36" t="s">
        <v>67</v>
      </c>
      <c r="AF35" s="36" t="s">
        <v>2914</v>
      </c>
      <c r="AG35">
        <v>2018</v>
      </c>
      <c r="AH35" s="36" t="s">
        <v>2007</v>
      </c>
      <c r="AI35">
        <v>2018</v>
      </c>
      <c r="AJ35">
        <v>2018</v>
      </c>
      <c r="AK35" s="70">
        <v>2018</v>
      </c>
      <c r="AL35" s="70">
        <v>2018</v>
      </c>
      <c r="AM35" t="s">
        <v>1997</v>
      </c>
      <c r="AN35">
        <f>SUM(1534+183)*3.9+(102*6.31)</f>
        <v>7339.92</v>
      </c>
      <c r="AO35"/>
      <c r="AP35"/>
      <c r="AQ35" s="70">
        <f t="shared" si="15"/>
        <v>4853.9222868527131</v>
      </c>
      <c r="AR35" s="70">
        <f t="shared" si="16"/>
        <v>5416.0160512945404</v>
      </c>
      <c r="AS35" s="70">
        <f t="shared" si="2"/>
        <v>7339.92</v>
      </c>
      <c r="AT35" s="70">
        <f t="shared" si="17"/>
        <v>4853.9222868527131</v>
      </c>
      <c r="AU35" s="70">
        <f t="shared" si="18"/>
        <v>5416.0160512945404</v>
      </c>
      <c r="AV35" t="s">
        <v>2868</v>
      </c>
      <c r="AW35">
        <v>2020</v>
      </c>
      <c r="AX35" t="s">
        <v>2009</v>
      </c>
      <c r="AY35" t="s">
        <v>1999</v>
      </c>
      <c r="AZ35" t="s">
        <v>2011</v>
      </c>
      <c r="BA35" t="s">
        <v>140</v>
      </c>
      <c r="BB35" t="s">
        <v>2195</v>
      </c>
      <c r="BC35" t="s">
        <v>2195</v>
      </c>
      <c r="BD35" t="s">
        <v>2200</v>
      </c>
      <c r="BE35" t="s">
        <v>2000</v>
      </c>
      <c r="BF35" t="s">
        <v>2000</v>
      </c>
      <c r="BG35" t="s">
        <v>2909</v>
      </c>
      <c r="BI35" s="123" t="s">
        <v>2869</v>
      </c>
      <c r="BJ35" s="79" t="s">
        <v>2870</v>
      </c>
      <c r="BK35" t="s">
        <v>2921</v>
      </c>
      <c r="BL35" s="80" t="s">
        <v>2871</v>
      </c>
      <c r="BM35" s="77" t="s">
        <v>2872</v>
      </c>
      <c r="BN35" s="127" t="s">
        <v>1994</v>
      </c>
    </row>
    <row r="36" spans="1:66" ht="18.95" customHeight="1" x14ac:dyDescent="0.25">
      <c r="A36" t="s">
        <v>3007</v>
      </c>
      <c r="B36" t="s">
        <v>3014</v>
      </c>
      <c r="C36" t="s">
        <v>3071</v>
      </c>
      <c r="D36" s="53" t="s">
        <v>2922</v>
      </c>
      <c r="E36" t="s">
        <v>2923</v>
      </c>
      <c r="F36" s="67" t="s">
        <v>2924</v>
      </c>
      <c r="G36">
        <v>2023</v>
      </c>
      <c r="H36" t="s">
        <v>2140</v>
      </c>
      <c r="I36" t="s">
        <v>61</v>
      </c>
      <c r="J36" t="s">
        <v>2001</v>
      </c>
      <c r="K36" t="s">
        <v>2004</v>
      </c>
      <c r="L36" s="71" t="s">
        <v>1806</v>
      </c>
      <c r="M36" s="71" t="s">
        <v>862</v>
      </c>
      <c r="N36" s="71" t="s">
        <v>968</v>
      </c>
      <c r="O36" s="71" t="s">
        <v>1002</v>
      </c>
      <c r="P36" s="71" t="s">
        <v>1072</v>
      </c>
      <c r="Q36" s="22" t="s">
        <v>1073</v>
      </c>
      <c r="R36" s="22" t="s">
        <v>2969</v>
      </c>
      <c r="T36" s="47" t="s">
        <v>2867</v>
      </c>
      <c r="U36" s="72" t="s">
        <v>1995</v>
      </c>
      <c r="V36" s="72" t="s">
        <v>1995</v>
      </c>
      <c r="W36" s="72" t="s">
        <v>2001</v>
      </c>
      <c r="X36" s="72" t="s">
        <v>2001</v>
      </c>
      <c r="Y36" s="72" t="s">
        <v>2241</v>
      </c>
      <c r="Z36" s="72" t="s">
        <v>1984</v>
      </c>
      <c r="AA36" s="72" t="s">
        <v>1992</v>
      </c>
      <c r="AB36" t="s">
        <v>1861</v>
      </c>
      <c r="AC36" s="36" t="s">
        <v>1865</v>
      </c>
      <c r="AD36" s="36" t="s">
        <v>2875</v>
      </c>
      <c r="AE36" s="36" t="s">
        <v>67</v>
      </c>
      <c r="AF36" s="36" t="s">
        <v>2916</v>
      </c>
      <c r="AG36">
        <v>2020</v>
      </c>
      <c r="AH36" s="36" t="s">
        <v>2007</v>
      </c>
      <c r="AI36">
        <v>2020</v>
      </c>
      <c r="AJ36">
        <v>2020</v>
      </c>
      <c r="AK36" s="70">
        <v>2020</v>
      </c>
      <c r="AL36" s="70">
        <v>2020</v>
      </c>
      <c r="AM36" t="s">
        <v>1997</v>
      </c>
      <c r="AN36">
        <f>SUM(2475+183)*16+(374*6.31)</f>
        <v>44887.94</v>
      </c>
      <c r="AO36"/>
      <c r="AP36"/>
      <c r="AQ36" s="70">
        <f t="shared" si="15"/>
        <v>29684.597703640829</v>
      </c>
      <c r="AR36" s="70">
        <f t="shared" si="16"/>
        <v>33122.132604925704</v>
      </c>
      <c r="AS36" s="70">
        <f t="shared" si="2"/>
        <v>44887.94</v>
      </c>
      <c r="AT36" s="70">
        <f t="shared" si="17"/>
        <v>29684.597703640829</v>
      </c>
      <c r="AU36" s="70">
        <f t="shared" si="18"/>
        <v>33122.132604925704</v>
      </c>
      <c r="AV36" t="s">
        <v>2868</v>
      </c>
      <c r="AW36">
        <v>2020</v>
      </c>
      <c r="AX36" t="s">
        <v>2009</v>
      </c>
      <c r="AY36" t="s">
        <v>1999</v>
      </c>
      <c r="AZ36" t="s">
        <v>2011</v>
      </c>
      <c r="BA36" t="s">
        <v>140</v>
      </c>
      <c r="BB36" t="s">
        <v>2195</v>
      </c>
      <c r="BC36" t="s">
        <v>2195</v>
      </c>
      <c r="BD36" t="s">
        <v>2200</v>
      </c>
      <c r="BE36" t="s">
        <v>2000</v>
      </c>
      <c r="BF36" t="s">
        <v>2000</v>
      </c>
      <c r="BG36" t="s">
        <v>2909</v>
      </c>
      <c r="BI36" s="122" t="s">
        <v>2869</v>
      </c>
      <c r="BJ36" s="79" t="s">
        <v>2870</v>
      </c>
      <c r="BK36" t="s">
        <v>2921</v>
      </c>
      <c r="BL36" s="80" t="s">
        <v>2871</v>
      </c>
      <c r="BM36" s="77" t="s">
        <v>2872</v>
      </c>
      <c r="BN36" s="127" t="s">
        <v>1994</v>
      </c>
    </row>
    <row r="37" spans="1:66" ht="18.95" customHeight="1" x14ac:dyDescent="0.25">
      <c r="A37" t="s">
        <v>3008</v>
      </c>
      <c r="B37" t="s">
        <v>3014</v>
      </c>
      <c r="C37" t="s">
        <v>3071</v>
      </c>
      <c r="D37" s="53" t="s">
        <v>2922</v>
      </c>
      <c r="E37" t="s">
        <v>2923</v>
      </c>
      <c r="F37" s="67" t="s">
        <v>2924</v>
      </c>
      <c r="G37">
        <v>2023</v>
      </c>
      <c r="H37" t="s">
        <v>2140</v>
      </c>
      <c r="I37" t="s">
        <v>61</v>
      </c>
      <c r="J37" t="s">
        <v>2001</v>
      </c>
      <c r="K37" t="s">
        <v>2004</v>
      </c>
      <c r="L37" s="71" t="s">
        <v>1806</v>
      </c>
      <c r="M37" s="71" t="s">
        <v>862</v>
      </c>
      <c r="N37" s="71" t="s">
        <v>968</v>
      </c>
      <c r="O37" s="71" t="s">
        <v>1002</v>
      </c>
      <c r="P37" s="71" t="s">
        <v>1072</v>
      </c>
      <c r="Q37" s="22" t="s">
        <v>1073</v>
      </c>
      <c r="R37" s="22" t="s">
        <v>2969</v>
      </c>
      <c r="T37" s="47" t="s">
        <v>2867</v>
      </c>
      <c r="U37" s="72" t="s">
        <v>1995</v>
      </c>
      <c r="V37" s="72" t="s">
        <v>1995</v>
      </c>
      <c r="W37" s="72" t="s">
        <v>2001</v>
      </c>
      <c r="X37" s="72" t="s">
        <v>2001</v>
      </c>
      <c r="Y37" s="72" t="s">
        <v>2241</v>
      </c>
      <c r="Z37" s="72" t="s">
        <v>1984</v>
      </c>
      <c r="AA37" s="72" t="s">
        <v>1992</v>
      </c>
      <c r="AB37" t="s">
        <v>1861</v>
      </c>
      <c r="AC37" s="36" t="s">
        <v>1865</v>
      </c>
      <c r="AD37" s="36" t="s">
        <v>2875</v>
      </c>
      <c r="AE37" s="36" t="s">
        <v>67</v>
      </c>
      <c r="AF37" s="36" t="s">
        <v>2915</v>
      </c>
      <c r="AG37">
        <v>2018</v>
      </c>
      <c r="AH37" s="36" t="s">
        <v>2007</v>
      </c>
      <c r="AI37">
        <v>2018</v>
      </c>
      <c r="AJ37">
        <v>2018</v>
      </c>
      <c r="AK37" s="70">
        <v>2018</v>
      </c>
      <c r="AL37" s="70">
        <v>2018</v>
      </c>
      <c r="AM37" t="s">
        <v>1997</v>
      </c>
      <c r="AN37">
        <f>SUM(1534+183)*80.2+(4197*6.31)</f>
        <v>164186.47</v>
      </c>
      <c r="AO37"/>
      <c r="AP37"/>
      <c r="AQ37" s="70">
        <f t="shared" si="15"/>
        <v>108577.25505627778</v>
      </c>
      <c r="AR37" s="70">
        <f t="shared" si="16"/>
        <v>121150.71512024511</v>
      </c>
      <c r="AS37" s="70">
        <f t="shared" si="2"/>
        <v>164186.47</v>
      </c>
      <c r="AT37" s="70">
        <f t="shared" si="17"/>
        <v>108577.25505627778</v>
      </c>
      <c r="AU37" s="70">
        <f t="shared" si="18"/>
        <v>121150.71512024511</v>
      </c>
      <c r="AV37" t="s">
        <v>2868</v>
      </c>
      <c r="AW37">
        <v>2020</v>
      </c>
      <c r="AX37" t="s">
        <v>2009</v>
      </c>
      <c r="AY37" t="s">
        <v>1999</v>
      </c>
      <c r="AZ37" t="s">
        <v>2011</v>
      </c>
      <c r="BA37" t="s">
        <v>140</v>
      </c>
      <c r="BB37" t="s">
        <v>2195</v>
      </c>
      <c r="BC37" t="s">
        <v>2195</v>
      </c>
      <c r="BD37" t="s">
        <v>2200</v>
      </c>
      <c r="BE37" t="s">
        <v>2000</v>
      </c>
      <c r="BF37" t="s">
        <v>2000</v>
      </c>
      <c r="BG37" t="s">
        <v>2909</v>
      </c>
      <c r="BI37" s="122" t="s">
        <v>2869</v>
      </c>
      <c r="BJ37" s="79" t="s">
        <v>2870</v>
      </c>
      <c r="BK37" t="s">
        <v>2921</v>
      </c>
      <c r="BL37" s="80" t="s">
        <v>2871</v>
      </c>
      <c r="BM37" s="77" t="s">
        <v>2872</v>
      </c>
      <c r="BN37" s="81" t="s">
        <v>1994</v>
      </c>
    </row>
    <row r="38" spans="1:66" ht="18.95" customHeight="1" x14ac:dyDescent="0.25">
      <c r="A38" t="s">
        <v>3009</v>
      </c>
      <c r="B38" t="s">
        <v>3014</v>
      </c>
      <c r="C38" t="s">
        <v>3071</v>
      </c>
      <c r="D38" s="53" t="s">
        <v>2922</v>
      </c>
      <c r="E38" t="s">
        <v>2923</v>
      </c>
      <c r="F38" s="67" t="s">
        <v>2924</v>
      </c>
      <c r="G38">
        <v>2023</v>
      </c>
      <c r="H38" t="s">
        <v>2140</v>
      </c>
      <c r="I38" t="s">
        <v>61</v>
      </c>
      <c r="J38" t="s">
        <v>2001</v>
      </c>
      <c r="K38" t="s">
        <v>2004</v>
      </c>
      <c r="L38" s="71" t="s">
        <v>1806</v>
      </c>
      <c r="M38" s="71" t="s">
        <v>862</v>
      </c>
      <c r="N38" s="71" t="s">
        <v>968</v>
      </c>
      <c r="O38" s="71" t="s">
        <v>1002</v>
      </c>
      <c r="P38" s="71" t="s">
        <v>1072</v>
      </c>
      <c r="Q38" s="22" t="s">
        <v>1073</v>
      </c>
      <c r="R38" s="22" t="s">
        <v>2969</v>
      </c>
      <c r="T38" s="47" t="s">
        <v>2867</v>
      </c>
      <c r="U38" s="72" t="s">
        <v>1995</v>
      </c>
      <c r="V38" s="72" t="s">
        <v>1995</v>
      </c>
      <c r="W38" s="72" t="s">
        <v>2001</v>
      </c>
      <c r="X38" s="72" t="s">
        <v>2001</v>
      </c>
      <c r="Y38" s="72" t="s">
        <v>2241</v>
      </c>
      <c r="Z38" s="72" t="s">
        <v>1984</v>
      </c>
      <c r="AA38" s="72" t="s">
        <v>1992</v>
      </c>
      <c r="AB38" t="s">
        <v>1861</v>
      </c>
      <c r="AC38" s="36" t="s">
        <v>1865</v>
      </c>
      <c r="AD38" s="36" t="s">
        <v>2875</v>
      </c>
      <c r="AE38" s="36" t="s">
        <v>67</v>
      </c>
      <c r="AF38" s="36" t="s">
        <v>2915</v>
      </c>
      <c r="AG38">
        <v>2019</v>
      </c>
      <c r="AH38" s="36" t="s">
        <v>2007</v>
      </c>
      <c r="AI38">
        <v>2019</v>
      </c>
      <c r="AJ38">
        <v>2019</v>
      </c>
      <c r="AK38" s="70">
        <v>2019</v>
      </c>
      <c r="AL38" s="70">
        <v>2019</v>
      </c>
      <c r="AM38" t="s">
        <v>1997</v>
      </c>
      <c r="AN38">
        <f>SUM(1534+183)*93.6+(3659*6.31)</f>
        <v>183799.49</v>
      </c>
      <c r="AO38"/>
      <c r="AP38"/>
      <c r="AQ38" s="70">
        <f t="shared" si="15"/>
        <v>121547.43387164469</v>
      </c>
      <c r="AR38" s="70">
        <f t="shared" si="16"/>
        <v>135622.86619741772</v>
      </c>
      <c r="AS38" s="70">
        <f t="shared" si="2"/>
        <v>183799.49</v>
      </c>
      <c r="AT38" s="70">
        <f t="shared" si="17"/>
        <v>121547.43387164469</v>
      </c>
      <c r="AU38" s="70">
        <f t="shared" si="18"/>
        <v>135622.86619741772</v>
      </c>
      <c r="AV38" t="s">
        <v>2868</v>
      </c>
      <c r="AW38">
        <v>2020</v>
      </c>
      <c r="AX38" t="s">
        <v>2009</v>
      </c>
      <c r="AY38" t="s">
        <v>1999</v>
      </c>
      <c r="AZ38" t="s">
        <v>2011</v>
      </c>
      <c r="BA38" t="s">
        <v>140</v>
      </c>
      <c r="BB38" t="s">
        <v>2195</v>
      </c>
      <c r="BC38" t="s">
        <v>2195</v>
      </c>
      <c r="BD38" t="s">
        <v>2200</v>
      </c>
      <c r="BE38" t="s">
        <v>2000</v>
      </c>
      <c r="BF38" t="s">
        <v>2000</v>
      </c>
      <c r="BG38" t="s">
        <v>2909</v>
      </c>
      <c r="BI38" s="122" t="s">
        <v>2869</v>
      </c>
      <c r="BJ38" s="79" t="s">
        <v>2870</v>
      </c>
      <c r="BK38" t="s">
        <v>2921</v>
      </c>
      <c r="BL38" s="80" t="s">
        <v>2871</v>
      </c>
      <c r="BM38" s="125" t="s">
        <v>2872</v>
      </c>
      <c r="BN38" s="123" t="s">
        <v>1994</v>
      </c>
    </row>
    <row r="39" spans="1:66" ht="18.95" customHeight="1" x14ac:dyDescent="0.25">
      <c r="A39" t="s">
        <v>3010</v>
      </c>
      <c r="B39" t="s">
        <v>3014</v>
      </c>
      <c r="C39" t="s">
        <v>3071</v>
      </c>
      <c r="D39" s="53" t="s">
        <v>2922</v>
      </c>
      <c r="E39" t="s">
        <v>2923</v>
      </c>
      <c r="F39" s="67" t="s">
        <v>2924</v>
      </c>
      <c r="G39">
        <v>2023</v>
      </c>
      <c r="H39" t="s">
        <v>2140</v>
      </c>
      <c r="I39" t="s">
        <v>61</v>
      </c>
      <c r="J39" t="s">
        <v>2001</v>
      </c>
      <c r="K39" t="s">
        <v>2004</v>
      </c>
      <c r="L39" s="71" t="s">
        <v>1806</v>
      </c>
      <c r="M39" s="71" t="s">
        <v>862</v>
      </c>
      <c r="N39" s="71" t="s">
        <v>968</v>
      </c>
      <c r="O39" s="71" t="s">
        <v>1002</v>
      </c>
      <c r="P39" s="71" t="s">
        <v>1072</v>
      </c>
      <c r="Q39" s="22" t="s">
        <v>1073</v>
      </c>
      <c r="R39" s="22" t="s">
        <v>2968</v>
      </c>
      <c r="T39" s="47" t="s">
        <v>2967</v>
      </c>
      <c r="U39" s="72" t="s">
        <v>1995</v>
      </c>
      <c r="V39" s="72" t="s">
        <v>1995</v>
      </c>
      <c r="W39" s="72" t="s">
        <v>2001</v>
      </c>
      <c r="X39" s="72" t="s">
        <v>2001</v>
      </c>
      <c r="Y39" s="72" t="s">
        <v>2241</v>
      </c>
      <c r="Z39" s="72" t="s">
        <v>1984</v>
      </c>
      <c r="AA39" s="72" t="s">
        <v>1992</v>
      </c>
      <c r="AB39" t="s">
        <v>1861</v>
      </c>
      <c r="AC39" s="36" t="s">
        <v>1865</v>
      </c>
      <c r="AD39" s="36" t="s">
        <v>2876</v>
      </c>
      <c r="AE39" s="36" t="s">
        <v>67</v>
      </c>
      <c r="AF39" s="36" t="s">
        <v>2917</v>
      </c>
      <c r="AG39">
        <v>2017</v>
      </c>
      <c r="AH39" s="36" t="s">
        <v>2007</v>
      </c>
      <c r="AI39">
        <v>2017</v>
      </c>
      <c r="AJ39">
        <v>2017</v>
      </c>
      <c r="AK39" s="70">
        <v>2017</v>
      </c>
      <c r="AL39" s="70">
        <v>2017</v>
      </c>
      <c r="AM39" t="s">
        <v>1997</v>
      </c>
      <c r="AN39">
        <f>SUM(905+183)*3.92+(63*6.31)</f>
        <v>4662.49</v>
      </c>
      <c r="AO39"/>
      <c r="AP39"/>
      <c r="AQ39" s="70">
        <f t="shared" si="15"/>
        <v>3083.3257206111107</v>
      </c>
      <c r="AR39" s="70">
        <f t="shared" si="16"/>
        <v>3440.3809140971939</v>
      </c>
      <c r="AS39" s="70">
        <f t="shared" si="2"/>
        <v>4662.49</v>
      </c>
      <c r="AT39" s="70">
        <f t="shared" si="17"/>
        <v>3083.3257206111107</v>
      </c>
      <c r="AU39" s="70">
        <f t="shared" si="18"/>
        <v>3440.3809140971939</v>
      </c>
      <c r="AV39" t="s">
        <v>2868</v>
      </c>
      <c r="AW39">
        <v>2020</v>
      </c>
      <c r="AX39" t="s">
        <v>2009</v>
      </c>
      <c r="AY39" t="s">
        <v>1999</v>
      </c>
      <c r="AZ39" t="s">
        <v>2011</v>
      </c>
      <c r="BA39" t="s">
        <v>140</v>
      </c>
      <c r="BB39" t="s">
        <v>2195</v>
      </c>
      <c r="BC39" t="s">
        <v>2195</v>
      </c>
      <c r="BD39" t="s">
        <v>2200</v>
      </c>
      <c r="BE39" t="s">
        <v>2000</v>
      </c>
      <c r="BF39" t="s">
        <v>2000</v>
      </c>
      <c r="BG39" t="s">
        <v>2909</v>
      </c>
      <c r="BI39" s="122" t="s">
        <v>2869</v>
      </c>
      <c r="BJ39" s="79" t="s">
        <v>2870</v>
      </c>
      <c r="BK39" t="s">
        <v>2921</v>
      </c>
      <c r="BL39" s="80" t="s">
        <v>2871</v>
      </c>
      <c r="BM39" s="125" t="s">
        <v>2872</v>
      </c>
      <c r="BN39" s="122" t="s">
        <v>1994</v>
      </c>
    </row>
    <row r="40" spans="1:66" ht="18.95" customHeight="1" x14ac:dyDescent="0.25">
      <c r="A40" t="s">
        <v>3011</v>
      </c>
      <c r="B40" t="s">
        <v>3014</v>
      </c>
      <c r="C40" t="s">
        <v>3071</v>
      </c>
      <c r="D40" s="53" t="s">
        <v>2922</v>
      </c>
      <c r="E40" t="s">
        <v>2923</v>
      </c>
      <c r="F40" s="67" t="s">
        <v>2924</v>
      </c>
      <c r="G40">
        <v>2023</v>
      </c>
      <c r="H40" t="s">
        <v>2140</v>
      </c>
      <c r="I40" t="s">
        <v>61</v>
      </c>
      <c r="J40" t="s">
        <v>2001</v>
      </c>
      <c r="K40" t="s">
        <v>2004</v>
      </c>
      <c r="L40" s="71" t="s">
        <v>1806</v>
      </c>
      <c r="M40" s="71" t="s">
        <v>862</v>
      </c>
      <c r="N40" s="71" t="s">
        <v>968</v>
      </c>
      <c r="O40" s="71" t="s">
        <v>1002</v>
      </c>
      <c r="P40" s="71" t="s">
        <v>1072</v>
      </c>
      <c r="Q40" s="22" t="s">
        <v>1073</v>
      </c>
      <c r="R40" s="22" t="s">
        <v>2968</v>
      </c>
      <c r="T40" s="47" t="s">
        <v>2967</v>
      </c>
      <c r="U40" s="72" t="s">
        <v>1995</v>
      </c>
      <c r="V40" s="72" t="s">
        <v>1995</v>
      </c>
      <c r="W40" s="72" t="s">
        <v>2001</v>
      </c>
      <c r="X40" s="72" t="s">
        <v>2001</v>
      </c>
      <c r="Y40" s="72" t="s">
        <v>2241</v>
      </c>
      <c r="Z40" s="72" t="s">
        <v>1984</v>
      </c>
      <c r="AA40" s="72" t="s">
        <v>1992</v>
      </c>
      <c r="AB40" t="s">
        <v>1861</v>
      </c>
      <c r="AC40" s="36" t="s">
        <v>1865</v>
      </c>
      <c r="AD40" s="36" t="s">
        <v>2876</v>
      </c>
      <c r="AE40" s="36" t="s">
        <v>67</v>
      </c>
      <c r="AF40" s="36" t="s">
        <v>2918</v>
      </c>
      <c r="AG40">
        <v>2018</v>
      </c>
      <c r="AH40" s="36" t="s">
        <v>2007</v>
      </c>
      <c r="AI40">
        <v>2018</v>
      </c>
      <c r="AJ40">
        <v>2018</v>
      </c>
      <c r="AK40" s="70">
        <v>2018</v>
      </c>
      <c r="AL40" s="70">
        <v>2018</v>
      </c>
      <c r="AM40" t="s">
        <v>1997</v>
      </c>
      <c r="AN40">
        <f>SUM(905+183)*3.87+(64*6.31)</f>
        <v>4614.4000000000005</v>
      </c>
      <c r="AO40"/>
      <c r="AP40"/>
      <c r="AQ40" s="70">
        <f t="shared" si="15"/>
        <v>3051.5235861498713</v>
      </c>
      <c r="AR40" s="70">
        <f t="shared" si="16"/>
        <v>3404.8960298059824</v>
      </c>
      <c r="AS40" s="70">
        <f t="shared" si="2"/>
        <v>4614.4000000000005</v>
      </c>
      <c r="AT40" s="70">
        <f t="shared" si="17"/>
        <v>3051.5235861498713</v>
      </c>
      <c r="AU40" s="70">
        <f t="shared" si="18"/>
        <v>3404.8960298059824</v>
      </c>
      <c r="AV40" t="s">
        <v>2868</v>
      </c>
      <c r="AW40">
        <v>2020</v>
      </c>
      <c r="AX40" t="s">
        <v>2009</v>
      </c>
      <c r="AY40" t="s">
        <v>1999</v>
      </c>
      <c r="AZ40" t="s">
        <v>2011</v>
      </c>
      <c r="BA40" t="s">
        <v>140</v>
      </c>
      <c r="BB40" t="s">
        <v>2195</v>
      </c>
      <c r="BC40" t="s">
        <v>2195</v>
      </c>
      <c r="BD40" t="s">
        <v>2200</v>
      </c>
      <c r="BE40" t="s">
        <v>2000</v>
      </c>
      <c r="BF40" t="s">
        <v>2000</v>
      </c>
      <c r="BG40" t="s">
        <v>2909</v>
      </c>
      <c r="BI40" s="122" t="s">
        <v>2869</v>
      </c>
      <c r="BJ40" s="79" t="s">
        <v>2870</v>
      </c>
      <c r="BK40" t="s">
        <v>2921</v>
      </c>
      <c r="BL40" s="80" t="s">
        <v>2871</v>
      </c>
      <c r="BM40" s="125" t="s">
        <v>2872</v>
      </c>
      <c r="BN40" s="126" t="s">
        <v>1994</v>
      </c>
    </row>
    <row r="41" spans="1:66" ht="18.95" customHeight="1" x14ac:dyDescent="0.25">
      <c r="A41" t="s">
        <v>3012</v>
      </c>
      <c r="B41" t="s">
        <v>3014</v>
      </c>
      <c r="C41" t="s">
        <v>3071</v>
      </c>
      <c r="D41" s="53" t="s">
        <v>2922</v>
      </c>
      <c r="E41" t="s">
        <v>2923</v>
      </c>
      <c r="F41" s="67" t="s">
        <v>2924</v>
      </c>
      <c r="G41">
        <v>2023</v>
      </c>
      <c r="H41" t="s">
        <v>2140</v>
      </c>
      <c r="I41" t="s">
        <v>61</v>
      </c>
      <c r="J41" t="s">
        <v>2001</v>
      </c>
      <c r="K41" t="s">
        <v>2004</v>
      </c>
      <c r="L41" s="71" t="s">
        <v>1806</v>
      </c>
      <c r="M41" s="71" t="s">
        <v>862</v>
      </c>
      <c r="N41" s="71" t="s">
        <v>968</v>
      </c>
      <c r="O41" s="71" t="s">
        <v>1002</v>
      </c>
      <c r="P41" s="71" t="s">
        <v>1072</v>
      </c>
      <c r="Q41" s="22" t="s">
        <v>1073</v>
      </c>
      <c r="R41" s="22" t="s">
        <v>2968</v>
      </c>
      <c r="T41" s="47" t="s">
        <v>2967</v>
      </c>
      <c r="U41" s="72" t="s">
        <v>1995</v>
      </c>
      <c r="V41" s="72" t="s">
        <v>1995</v>
      </c>
      <c r="W41" s="72" t="s">
        <v>2001</v>
      </c>
      <c r="X41" s="72" t="s">
        <v>2001</v>
      </c>
      <c r="Y41" s="72" t="s">
        <v>2241</v>
      </c>
      <c r="Z41" s="72" t="s">
        <v>1984</v>
      </c>
      <c r="AA41" s="72" t="s">
        <v>1992</v>
      </c>
      <c r="AB41" t="s">
        <v>1861</v>
      </c>
      <c r="AC41" s="36" t="s">
        <v>1865</v>
      </c>
      <c r="AD41" s="36" t="s">
        <v>2876</v>
      </c>
      <c r="AE41" s="36" t="s">
        <v>67</v>
      </c>
      <c r="AF41" s="36" t="s">
        <v>2919</v>
      </c>
      <c r="AG41">
        <v>2017</v>
      </c>
      <c r="AH41" s="36" t="s">
        <v>2007</v>
      </c>
      <c r="AI41">
        <v>2017</v>
      </c>
      <c r="AJ41">
        <v>2017</v>
      </c>
      <c r="AK41" s="70">
        <v>2017</v>
      </c>
      <c r="AL41" s="70">
        <v>2017</v>
      </c>
      <c r="AM41" t="s">
        <v>1997</v>
      </c>
      <c r="AN41">
        <f>SUM(905+183)*3.67+(52*6.31)</f>
        <v>4321.08</v>
      </c>
      <c r="AO41"/>
      <c r="AP41"/>
      <c r="AQ41" s="70">
        <f t="shared" si="15"/>
        <v>2857.5497437674417</v>
      </c>
      <c r="AR41" s="70">
        <f t="shared" si="16"/>
        <v>3188.459634291356</v>
      </c>
      <c r="AS41" s="70">
        <f t="shared" si="2"/>
        <v>4321.08</v>
      </c>
      <c r="AT41" s="70">
        <f t="shared" si="17"/>
        <v>2857.5497437674417</v>
      </c>
      <c r="AU41" s="70">
        <f t="shared" si="18"/>
        <v>3188.459634291356</v>
      </c>
      <c r="AV41" t="s">
        <v>2868</v>
      </c>
      <c r="AW41">
        <v>2020</v>
      </c>
      <c r="AX41" t="s">
        <v>2009</v>
      </c>
      <c r="AY41" t="s">
        <v>1999</v>
      </c>
      <c r="AZ41" t="s">
        <v>2011</v>
      </c>
      <c r="BA41" t="s">
        <v>140</v>
      </c>
      <c r="BB41" t="s">
        <v>2195</v>
      </c>
      <c r="BC41" t="s">
        <v>2195</v>
      </c>
      <c r="BD41" t="s">
        <v>2200</v>
      </c>
      <c r="BE41" t="s">
        <v>2000</v>
      </c>
      <c r="BF41" t="s">
        <v>2000</v>
      </c>
      <c r="BG41" t="s">
        <v>2909</v>
      </c>
      <c r="BI41" s="122" t="s">
        <v>2869</v>
      </c>
      <c r="BJ41" s="79" t="s">
        <v>2870</v>
      </c>
      <c r="BK41" t="s">
        <v>2921</v>
      </c>
      <c r="BL41" s="80" t="s">
        <v>2871</v>
      </c>
      <c r="BM41" s="125" t="s">
        <v>2872</v>
      </c>
      <c r="BN41" s="123" t="s">
        <v>1994</v>
      </c>
    </row>
    <row r="42" spans="1:66" ht="18.95" customHeight="1" x14ac:dyDescent="0.25">
      <c r="A42" t="s">
        <v>3013</v>
      </c>
      <c r="B42" t="s">
        <v>3014</v>
      </c>
      <c r="C42" t="s">
        <v>3071</v>
      </c>
      <c r="D42" s="53" t="s">
        <v>2922</v>
      </c>
      <c r="E42" t="s">
        <v>2923</v>
      </c>
      <c r="F42" s="67" t="s">
        <v>2924</v>
      </c>
      <c r="G42">
        <v>2023</v>
      </c>
      <c r="H42" t="s">
        <v>2140</v>
      </c>
      <c r="I42" t="s">
        <v>61</v>
      </c>
      <c r="J42" t="s">
        <v>2001</v>
      </c>
      <c r="K42" t="s">
        <v>2004</v>
      </c>
      <c r="L42" s="71" t="s">
        <v>1806</v>
      </c>
      <c r="M42" s="71" t="s">
        <v>862</v>
      </c>
      <c r="N42" s="71" t="s">
        <v>968</v>
      </c>
      <c r="O42" s="71" t="s">
        <v>1002</v>
      </c>
      <c r="P42" s="71" t="s">
        <v>1072</v>
      </c>
      <c r="Q42" s="22" t="s">
        <v>1073</v>
      </c>
      <c r="R42" s="22" t="s">
        <v>2968</v>
      </c>
      <c r="T42" s="47" t="s">
        <v>2967</v>
      </c>
      <c r="U42" s="72" t="s">
        <v>1995</v>
      </c>
      <c r="V42" s="72" t="s">
        <v>1995</v>
      </c>
      <c r="W42" s="72" t="s">
        <v>2001</v>
      </c>
      <c r="X42" s="72" t="s">
        <v>2001</v>
      </c>
      <c r="Y42" s="72" t="s">
        <v>2241</v>
      </c>
      <c r="Z42" s="72" t="s">
        <v>1984</v>
      </c>
      <c r="AA42" s="72" t="s">
        <v>1992</v>
      </c>
      <c r="AB42" t="s">
        <v>1861</v>
      </c>
      <c r="AC42" s="36" t="s">
        <v>1865</v>
      </c>
      <c r="AD42" s="36" t="s">
        <v>2876</v>
      </c>
      <c r="AE42" s="36" t="s">
        <v>67</v>
      </c>
      <c r="AF42" s="36" t="s">
        <v>2920</v>
      </c>
      <c r="AG42">
        <v>2016</v>
      </c>
      <c r="AH42" s="36" t="s">
        <v>2007</v>
      </c>
      <c r="AI42">
        <v>2016</v>
      </c>
      <c r="AJ42">
        <v>2016</v>
      </c>
      <c r="AK42" s="70">
        <v>2016</v>
      </c>
      <c r="AL42" s="70">
        <v>2016</v>
      </c>
      <c r="AM42" t="s">
        <v>1997</v>
      </c>
      <c r="AN42">
        <f>SUM(905+183)*5.66+(162*6.31)</f>
        <v>7180.3</v>
      </c>
      <c r="AO42"/>
      <c r="AP42"/>
      <c r="AQ42" s="70">
        <f t="shared" si="15"/>
        <v>4748.3648590568482</v>
      </c>
      <c r="AR42" s="70">
        <f t="shared" si="16"/>
        <v>5298.2348653813924</v>
      </c>
      <c r="AS42" s="70">
        <f t="shared" si="2"/>
        <v>7180.3</v>
      </c>
      <c r="AT42" s="70">
        <f t="shared" si="17"/>
        <v>4748.3648590568482</v>
      </c>
      <c r="AU42" s="70">
        <f t="shared" si="18"/>
        <v>5298.2348653813924</v>
      </c>
      <c r="AV42" t="s">
        <v>2868</v>
      </c>
      <c r="AW42">
        <v>2020</v>
      </c>
      <c r="AX42" t="s">
        <v>2009</v>
      </c>
      <c r="AY42" t="s">
        <v>1999</v>
      </c>
      <c r="AZ42" t="s">
        <v>2011</v>
      </c>
      <c r="BA42" t="s">
        <v>140</v>
      </c>
      <c r="BB42" t="s">
        <v>2195</v>
      </c>
      <c r="BC42" t="s">
        <v>2195</v>
      </c>
      <c r="BD42" t="s">
        <v>2200</v>
      </c>
      <c r="BE42" t="s">
        <v>2000</v>
      </c>
      <c r="BF42" t="s">
        <v>2000</v>
      </c>
      <c r="BG42" t="s">
        <v>2909</v>
      </c>
      <c r="BI42" s="122" t="s">
        <v>2869</v>
      </c>
      <c r="BJ42" s="79" t="s">
        <v>2870</v>
      </c>
      <c r="BK42" t="s">
        <v>2921</v>
      </c>
      <c r="BL42" s="80" t="s">
        <v>2871</v>
      </c>
      <c r="BM42" s="77" t="s">
        <v>2872</v>
      </c>
      <c r="BN42" s="81" t="s">
        <v>1994</v>
      </c>
    </row>
    <row r="43" spans="1:66" ht="18.95" customHeight="1" x14ac:dyDescent="0.25">
      <c r="A43" t="s">
        <v>3081</v>
      </c>
      <c r="B43" t="s">
        <v>2016</v>
      </c>
      <c r="C43" t="s">
        <v>2927</v>
      </c>
      <c r="D43" s="53" t="s">
        <v>2971</v>
      </c>
      <c r="E43" t="s">
        <v>2927</v>
      </c>
      <c r="F43" s="67" t="s">
        <v>2001</v>
      </c>
      <c r="G43">
        <v>2026</v>
      </c>
      <c r="H43" t="s">
        <v>2140</v>
      </c>
      <c r="I43" t="s">
        <v>66</v>
      </c>
      <c r="J43" t="s">
        <v>2001</v>
      </c>
      <c r="K43" t="s">
        <v>1994</v>
      </c>
      <c r="L43" s="71" t="s">
        <v>1806</v>
      </c>
      <c r="M43" s="71" t="s">
        <v>862</v>
      </c>
      <c r="N43" s="71" t="s">
        <v>968</v>
      </c>
      <c r="O43" s="71" t="s">
        <v>1002</v>
      </c>
      <c r="P43" s="71" t="s">
        <v>1072</v>
      </c>
      <c r="Q43" s="22" t="s">
        <v>1073</v>
      </c>
      <c r="R43" s="22" t="s">
        <v>2970</v>
      </c>
      <c r="T43" s="47" t="s">
        <v>2867</v>
      </c>
      <c r="U43" s="72" t="s">
        <v>1995</v>
      </c>
      <c r="V43" s="72" t="s">
        <v>1995</v>
      </c>
      <c r="W43" s="72" t="s">
        <v>2001</v>
      </c>
      <c r="X43" s="72" t="s">
        <v>2001</v>
      </c>
      <c r="Y43" s="72" t="s">
        <v>2241</v>
      </c>
      <c r="Z43" s="72" t="s">
        <v>1984</v>
      </c>
      <c r="AA43" s="72" t="s">
        <v>1992</v>
      </c>
      <c r="AB43" t="s">
        <v>1861</v>
      </c>
      <c r="AC43" s="36" t="s">
        <v>1865</v>
      </c>
      <c r="AD43" s="36" t="s">
        <v>2879</v>
      </c>
      <c r="AE43" s="36" t="s">
        <v>67</v>
      </c>
      <c r="AF43" s="36" t="s">
        <v>2928</v>
      </c>
      <c r="AG43">
        <v>2026</v>
      </c>
      <c r="AH43" s="36" t="s">
        <v>2007</v>
      </c>
      <c r="AI43">
        <v>2026</v>
      </c>
      <c r="AJ43">
        <v>2026</v>
      </c>
      <c r="AK43" s="50">
        <v>2026</v>
      </c>
      <c r="AL43" s="50">
        <v>2026</v>
      </c>
      <c r="AM43" t="s">
        <v>1997</v>
      </c>
      <c r="AN43" s="1">
        <f>(99440 + 6000 + 250 + 2000)</f>
        <v>107690</v>
      </c>
      <c r="AQ43" s="70">
        <f>AN43*0.6992*(111.175/143.6)</f>
        <v>58294.756799442897</v>
      </c>
      <c r="AR43" s="70"/>
      <c r="AS43" s="70">
        <f t="shared" si="2"/>
        <v>107690</v>
      </c>
      <c r="AT43" s="70">
        <f>AN43*0.6992*(111.175/143.6)</f>
        <v>58294.756799442897</v>
      </c>
      <c r="AU43" s="70"/>
      <c r="AV43" t="s">
        <v>2868</v>
      </c>
      <c r="AW43">
        <v>2026</v>
      </c>
      <c r="AX43" t="s">
        <v>1998</v>
      </c>
      <c r="AY43" t="s">
        <v>1999</v>
      </c>
      <c r="AZ43" t="s">
        <v>2011</v>
      </c>
      <c r="BA43" t="s">
        <v>140</v>
      </c>
      <c r="BB43" t="s">
        <v>2195</v>
      </c>
      <c r="BC43" t="s">
        <v>2195</v>
      </c>
      <c r="BD43" t="s">
        <v>2200</v>
      </c>
      <c r="BE43" t="s">
        <v>2000</v>
      </c>
      <c r="BF43" t="s">
        <v>2000</v>
      </c>
      <c r="BG43" s="67" t="s">
        <v>2926</v>
      </c>
      <c r="BI43" s="122" t="s">
        <v>2869</v>
      </c>
      <c r="BJ43" s="79" t="s">
        <v>2870</v>
      </c>
      <c r="BK43" s="67" t="s">
        <v>2992</v>
      </c>
      <c r="BL43" s="80" t="s">
        <v>2871</v>
      </c>
      <c r="BM43" s="125" t="s">
        <v>2872</v>
      </c>
      <c r="BN43" s="126" t="s">
        <v>1994</v>
      </c>
    </row>
    <row r="44" spans="1:66" ht="18.95" customHeight="1" x14ac:dyDescent="0.25">
      <c r="A44" t="s">
        <v>3027</v>
      </c>
      <c r="B44" t="s">
        <v>2016</v>
      </c>
      <c r="C44" t="s">
        <v>3017</v>
      </c>
      <c r="D44" s="53" t="s">
        <v>3016</v>
      </c>
      <c r="E44" t="s">
        <v>3017</v>
      </c>
      <c r="F44" s="67" t="s">
        <v>2001</v>
      </c>
      <c r="G44">
        <v>2026</v>
      </c>
      <c r="H44" t="s">
        <v>2140</v>
      </c>
      <c r="I44" t="s">
        <v>66</v>
      </c>
      <c r="J44" t="s">
        <v>2001</v>
      </c>
      <c r="K44" t="s">
        <v>1994</v>
      </c>
      <c r="L44" s="71" t="s">
        <v>1806</v>
      </c>
      <c r="M44" s="71" t="s">
        <v>862</v>
      </c>
      <c r="N44" s="71" t="s">
        <v>968</v>
      </c>
      <c r="O44" s="71" t="s">
        <v>1002</v>
      </c>
      <c r="P44" s="71" t="s">
        <v>1072</v>
      </c>
      <c r="Q44" s="22" t="s">
        <v>1073</v>
      </c>
      <c r="R44" s="22" t="s">
        <v>2970</v>
      </c>
      <c r="T44" s="47" t="s">
        <v>2867</v>
      </c>
      <c r="U44" s="72" t="s">
        <v>1995</v>
      </c>
      <c r="V44" s="72" t="s">
        <v>1995</v>
      </c>
      <c r="W44" s="72" t="s">
        <v>2001</v>
      </c>
      <c r="X44" s="72" t="s">
        <v>2001</v>
      </c>
      <c r="Y44" s="72" t="s">
        <v>2241</v>
      </c>
      <c r="Z44" s="72" t="s">
        <v>1984</v>
      </c>
      <c r="AA44" s="72" t="s">
        <v>1992</v>
      </c>
      <c r="AB44" t="s">
        <v>1861</v>
      </c>
      <c r="AC44" s="36" t="s">
        <v>1865</v>
      </c>
      <c r="AD44" s="36" t="s">
        <v>2879</v>
      </c>
      <c r="AE44" s="36" t="s">
        <v>3018</v>
      </c>
      <c r="AF44" s="36" t="s">
        <v>3041</v>
      </c>
      <c r="AG44">
        <v>2026</v>
      </c>
      <c r="AH44" s="36" t="s">
        <v>2007</v>
      </c>
      <c r="AI44">
        <v>2026</v>
      </c>
      <c r="AJ44">
        <v>2026</v>
      </c>
      <c r="AK44" s="70">
        <v>2026</v>
      </c>
      <c r="AL44" s="70">
        <v>2026</v>
      </c>
      <c r="AM44" t="s">
        <v>1997</v>
      </c>
      <c r="AN44" s="1">
        <v>212906.25</v>
      </c>
      <c r="AQ44" s="70">
        <f t="shared" ref="AQ44:AQ45" si="19">AN44*0.6992*(111.175/143.6)</f>
        <v>115250.42311107244</v>
      </c>
      <c r="AR44" s="70"/>
      <c r="AS44" s="70">
        <f t="shared" si="2"/>
        <v>212906.25</v>
      </c>
      <c r="AT44" s="70">
        <f t="shared" ref="AT44:AT45" si="20">AN44*0.6992*(111.175/143.6)</f>
        <v>115250.42311107244</v>
      </c>
      <c r="AU44" s="70"/>
      <c r="AV44" t="s">
        <v>2868</v>
      </c>
      <c r="AW44">
        <v>2026</v>
      </c>
      <c r="AX44" t="s">
        <v>1998</v>
      </c>
      <c r="AY44" t="s">
        <v>1999</v>
      </c>
      <c r="AZ44" t="s">
        <v>2011</v>
      </c>
      <c r="BA44" t="s">
        <v>140</v>
      </c>
      <c r="BB44" t="s">
        <v>2195</v>
      </c>
      <c r="BC44" t="s">
        <v>2195</v>
      </c>
      <c r="BD44" t="s">
        <v>2200</v>
      </c>
      <c r="BE44" t="s">
        <v>2000</v>
      </c>
      <c r="BF44" t="s">
        <v>2000</v>
      </c>
      <c r="BG44" t="s">
        <v>3021</v>
      </c>
      <c r="BI44" s="122" t="s">
        <v>2869</v>
      </c>
      <c r="BJ44" s="79" t="s">
        <v>2870</v>
      </c>
      <c r="BK44" t="s">
        <v>3022</v>
      </c>
      <c r="BL44" s="80" t="s">
        <v>2871</v>
      </c>
      <c r="BM44" s="125" t="s">
        <v>2872</v>
      </c>
      <c r="BN44" s="123" t="s">
        <v>1994</v>
      </c>
    </row>
    <row r="45" spans="1:66" ht="18.95" customHeight="1" x14ac:dyDescent="0.25">
      <c r="A45" t="s">
        <v>3025</v>
      </c>
      <c r="B45" t="s">
        <v>2016</v>
      </c>
      <c r="C45" t="s">
        <v>3017</v>
      </c>
      <c r="D45" s="53" t="s">
        <v>3016</v>
      </c>
      <c r="E45" t="s">
        <v>3017</v>
      </c>
      <c r="F45" s="67" t="s">
        <v>2001</v>
      </c>
      <c r="G45">
        <v>2026</v>
      </c>
      <c r="H45" t="s">
        <v>2140</v>
      </c>
      <c r="I45" t="s">
        <v>66</v>
      </c>
      <c r="J45" t="s">
        <v>2001</v>
      </c>
      <c r="K45" t="s">
        <v>1994</v>
      </c>
      <c r="L45" s="71" t="s">
        <v>1806</v>
      </c>
      <c r="M45" s="71" t="s">
        <v>862</v>
      </c>
      <c r="N45" s="71" t="s">
        <v>968</v>
      </c>
      <c r="O45" s="71" t="s">
        <v>1002</v>
      </c>
      <c r="P45" s="71" t="s">
        <v>1072</v>
      </c>
      <c r="Q45" s="22" t="s">
        <v>1073</v>
      </c>
      <c r="R45" s="22" t="s">
        <v>2970</v>
      </c>
      <c r="T45" s="47" t="s">
        <v>2867</v>
      </c>
      <c r="U45" s="72" t="s">
        <v>1995</v>
      </c>
      <c r="V45" s="72" t="s">
        <v>1995</v>
      </c>
      <c r="W45" s="72" t="s">
        <v>2001</v>
      </c>
      <c r="X45" s="72" t="s">
        <v>2001</v>
      </c>
      <c r="Y45" s="72" t="s">
        <v>2241</v>
      </c>
      <c r="Z45" s="72" t="s">
        <v>1984</v>
      </c>
      <c r="AA45" s="72" t="s">
        <v>1992</v>
      </c>
      <c r="AB45" t="s">
        <v>1861</v>
      </c>
      <c r="AC45" s="36" t="s">
        <v>1865</v>
      </c>
      <c r="AD45" s="36" t="s">
        <v>2879</v>
      </c>
      <c r="AE45" s="36" t="s">
        <v>3019</v>
      </c>
      <c r="AF45" s="36" t="s">
        <v>3042</v>
      </c>
      <c r="AG45">
        <v>2026</v>
      </c>
      <c r="AH45" s="36" t="s">
        <v>2007</v>
      </c>
      <c r="AI45">
        <v>2026</v>
      </c>
      <c r="AJ45">
        <v>2026</v>
      </c>
      <c r="AK45" s="70">
        <v>2026</v>
      </c>
      <c r="AL45" s="70">
        <v>2026</v>
      </c>
      <c r="AM45" t="s">
        <v>1997</v>
      </c>
      <c r="AN45" s="1">
        <v>138715.95000000001</v>
      </c>
      <c r="AQ45" s="70">
        <f t="shared" si="19"/>
        <v>75089.725781908099</v>
      </c>
      <c r="AR45" s="70"/>
      <c r="AS45" s="70">
        <f t="shared" si="2"/>
        <v>138715.95000000001</v>
      </c>
      <c r="AT45" s="70">
        <f t="shared" si="20"/>
        <v>75089.725781908099</v>
      </c>
      <c r="AU45" s="70"/>
      <c r="AV45" t="s">
        <v>2868</v>
      </c>
      <c r="AW45">
        <v>2026</v>
      </c>
      <c r="AX45" t="s">
        <v>1998</v>
      </c>
      <c r="AY45" t="s">
        <v>1999</v>
      </c>
      <c r="AZ45" t="s">
        <v>2011</v>
      </c>
      <c r="BA45" t="s">
        <v>140</v>
      </c>
      <c r="BB45" t="s">
        <v>2195</v>
      </c>
      <c r="BC45" t="s">
        <v>2195</v>
      </c>
      <c r="BD45" t="s">
        <v>2200</v>
      </c>
      <c r="BE45" t="s">
        <v>2000</v>
      </c>
      <c r="BF45" t="s">
        <v>2000</v>
      </c>
      <c r="BG45" t="s">
        <v>3021</v>
      </c>
      <c r="BI45" s="122" t="s">
        <v>2869</v>
      </c>
      <c r="BJ45" s="79" t="s">
        <v>2870</v>
      </c>
      <c r="BK45" t="s">
        <v>3023</v>
      </c>
      <c r="BL45" s="80" t="s">
        <v>2871</v>
      </c>
      <c r="BM45" s="125" t="s">
        <v>2872</v>
      </c>
      <c r="BN45" s="126" t="s">
        <v>1994</v>
      </c>
    </row>
    <row r="46" spans="1:66" ht="18.95" customHeight="1" x14ac:dyDescent="0.25">
      <c r="A46" t="s">
        <v>3026</v>
      </c>
      <c r="B46" t="s">
        <v>2016</v>
      </c>
      <c r="C46" t="s">
        <v>3017</v>
      </c>
      <c r="D46" s="53" t="s">
        <v>3016</v>
      </c>
      <c r="E46" t="s">
        <v>3017</v>
      </c>
      <c r="F46" s="67" t="s">
        <v>2001</v>
      </c>
      <c r="G46">
        <v>2026</v>
      </c>
      <c r="H46" t="s">
        <v>2140</v>
      </c>
      <c r="I46" t="s">
        <v>66</v>
      </c>
      <c r="J46" t="s">
        <v>2001</v>
      </c>
      <c r="K46" t="s">
        <v>1994</v>
      </c>
      <c r="L46" s="71" t="s">
        <v>1806</v>
      </c>
      <c r="M46" s="71" t="s">
        <v>862</v>
      </c>
      <c r="N46" s="71" t="s">
        <v>968</v>
      </c>
      <c r="O46" s="71" t="s">
        <v>1002</v>
      </c>
      <c r="P46" s="71" t="s">
        <v>1072</v>
      </c>
      <c r="Q46" s="22" t="s">
        <v>1073</v>
      </c>
      <c r="R46" s="22" t="s">
        <v>2970</v>
      </c>
      <c r="T46" s="47" t="s">
        <v>2867</v>
      </c>
      <c r="U46" s="72" t="s">
        <v>1995</v>
      </c>
      <c r="V46" s="72" t="s">
        <v>1995</v>
      </c>
      <c r="W46" s="72" t="s">
        <v>2001</v>
      </c>
      <c r="X46" s="72" t="s">
        <v>2001</v>
      </c>
      <c r="Y46" s="72" t="s">
        <v>2241</v>
      </c>
      <c r="Z46" s="72" t="s">
        <v>1984</v>
      </c>
      <c r="AA46" s="72" t="s">
        <v>1992</v>
      </c>
      <c r="AB46" t="s">
        <v>1861</v>
      </c>
      <c r="AC46" s="36" t="s">
        <v>1865</v>
      </c>
      <c r="AD46" s="36" t="s">
        <v>2879</v>
      </c>
      <c r="AE46" s="36" t="s">
        <v>3020</v>
      </c>
      <c r="AF46" s="36" t="s">
        <v>3043</v>
      </c>
      <c r="AG46">
        <v>2026</v>
      </c>
      <c r="AH46" s="36" t="s">
        <v>2007</v>
      </c>
      <c r="AI46">
        <v>2026</v>
      </c>
      <c r="AJ46">
        <v>2026</v>
      </c>
      <c r="AK46" s="70">
        <v>2026</v>
      </c>
      <c r="AL46" s="70">
        <v>2026</v>
      </c>
      <c r="AM46" t="s">
        <v>1997</v>
      </c>
      <c r="AN46" s="1">
        <v>101478.68</v>
      </c>
      <c r="AQ46" s="70">
        <f t="shared" ref="AQ46" si="21">AN46*0.6992*(111.175/143.6)</f>
        <v>54932.444711008357</v>
      </c>
      <c r="AR46" s="70"/>
      <c r="AS46" s="70">
        <f t="shared" si="2"/>
        <v>101478.68</v>
      </c>
      <c r="AT46" s="70">
        <f t="shared" ref="AT46" si="22">AN46*0.6992*(111.175/143.6)</f>
        <v>54932.444711008357</v>
      </c>
      <c r="AU46" s="70"/>
      <c r="AV46" t="s">
        <v>2868</v>
      </c>
      <c r="AW46">
        <v>2026</v>
      </c>
      <c r="AX46" t="s">
        <v>1998</v>
      </c>
      <c r="AY46" t="s">
        <v>1999</v>
      </c>
      <c r="AZ46" t="s">
        <v>2011</v>
      </c>
      <c r="BA46" t="s">
        <v>140</v>
      </c>
      <c r="BB46" t="s">
        <v>2195</v>
      </c>
      <c r="BC46" t="s">
        <v>2195</v>
      </c>
      <c r="BD46" t="s">
        <v>2200</v>
      </c>
      <c r="BE46" t="s">
        <v>2000</v>
      </c>
      <c r="BF46" t="s">
        <v>2000</v>
      </c>
      <c r="BG46" t="s">
        <v>3021</v>
      </c>
      <c r="BI46" s="122" t="s">
        <v>2869</v>
      </c>
      <c r="BJ46" s="79" t="s">
        <v>2870</v>
      </c>
      <c r="BK46" t="s">
        <v>3024</v>
      </c>
      <c r="BL46" s="80" t="s">
        <v>2871</v>
      </c>
      <c r="BM46" s="125" t="s">
        <v>2872</v>
      </c>
      <c r="BN46" s="123" t="s">
        <v>1994</v>
      </c>
    </row>
    <row r="47" spans="1:66" ht="18.95" customHeight="1" x14ac:dyDescent="0.25">
      <c r="A47" t="s">
        <v>3030</v>
      </c>
      <c r="B47" t="s">
        <v>2016</v>
      </c>
      <c r="C47" s="109" t="s">
        <v>3066</v>
      </c>
      <c r="D47" s="109" t="s">
        <v>3031</v>
      </c>
      <c r="E47" t="s">
        <v>3028</v>
      </c>
      <c r="F47" t="s">
        <v>3032</v>
      </c>
      <c r="G47">
        <v>2022</v>
      </c>
      <c r="H47" t="s">
        <v>2140</v>
      </c>
      <c r="I47" t="s">
        <v>59</v>
      </c>
      <c r="J47" t="s">
        <v>2001</v>
      </c>
      <c r="K47" t="s">
        <v>2004</v>
      </c>
      <c r="L47" s="71" t="s">
        <v>1806</v>
      </c>
      <c r="M47" s="71" t="s">
        <v>862</v>
      </c>
      <c r="N47" s="71" t="s">
        <v>968</v>
      </c>
      <c r="O47" s="71" t="s">
        <v>1002</v>
      </c>
      <c r="P47" s="71" t="s">
        <v>1072</v>
      </c>
      <c r="Q47" s="22" t="s">
        <v>1073</v>
      </c>
      <c r="R47" s="22" t="s">
        <v>2970</v>
      </c>
      <c r="T47" s="47" t="s">
        <v>2867</v>
      </c>
      <c r="U47" s="72" t="s">
        <v>1995</v>
      </c>
      <c r="V47" s="72" t="s">
        <v>1995</v>
      </c>
      <c r="W47" s="72" t="s">
        <v>2001</v>
      </c>
      <c r="X47" s="72" t="s">
        <v>2001</v>
      </c>
      <c r="Y47" s="72" t="s">
        <v>2241</v>
      </c>
      <c r="Z47" s="72" t="s">
        <v>1984</v>
      </c>
      <c r="AA47" s="72" t="s">
        <v>1992</v>
      </c>
      <c r="AB47" t="s">
        <v>1861</v>
      </c>
      <c r="AC47" s="36" t="s">
        <v>1865</v>
      </c>
      <c r="AD47" s="36" t="s">
        <v>2001</v>
      </c>
      <c r="AE47" s="36" t="s">
        <v>67</v>
      </c>
      <c r="AF47" s="36"/>
      <c r="AG47">
        <v>2022</v>
      </c>
      <c r="AH47" s="36" t="s">
        <v>2007</v>
      </c>
      <c r="AI47">
        <v>2022</v>
      </c>
      <c r="AJ47">
        <v>2022</v>
      </c>
      <c r="AK47" s="50">
        <v>2022</v>
      </c>
      <c r="AL47" s="50">
        <v>2022</v>
      </c>
      <c r="AM47" t="s">
        <v>2008</v>
      </c>
      <c r="AN47" s="1">
        <f>115589*77</f>
        <v>8900353</v>
      </c>
      <c r="AQ47" s="70">
        <f t="shared" ref="AQ47" si="23">AN47*0.6947*(111.175/127.3)</f>
        <v>5399869.5097815599</v>
      </c>
      <c r="AR47" s="70">
        <f t="shared" ref="AR47" si="24">(AN47/1.358727)*(292.626/245.121)</f>
        <v>7820011.9591229884</v>
      </c>
      <c r="AS47" s="70">
        <f t="shared" si="2"/>
        <v>8900353</v>
      </c>
      <c r="AT47" s="70">
        <f t="shared" ref="AT47" si="25">AN47*0.6947*(111.175/127.3)</f>
        <v>5399869.5097815599</v>
      </c>
      <c r="AU47" s="70">
        <f t="shared" ref="AU47" si="26">(AN47/1.358727)*(292.626/245.121)</f>
        <v>7820011.9591229884</v>
      </c>
      <c r="AV47" t="s">
        <v>2868</v>
      </c>
      <c r="AW47">
        <v>2022</v>
      </c>
      <c r="AX47" t="s">
        <v>2009</v>
      </c>
      <c r="AY47" t="s">
        <v>1999</v>
      </c>
      <c r="AZ47" t="s">
        <v>2011</v>
      </c>
      <c r="BA47" t="s">
        <v>139</v>
      </c>
      <c r="BB47" t="s">
        <v>2195</v>
      </c>
      <c r="BC47" t="s">
        <v>2195</v>
      </c>
      <c r="BD47" t="s">
        <v>2200</v>
      </c>
      <c r="BE47" t="s">
        <v>2000</v>
      </c>
      <c r="BF47" t="s">
        <v>2000</v>
      </c>
      <c r="BG47" t="s">
        <v>3029</v>
      </c>
      <c r="BI47" s="122" t="s">
        <v>2869</v>
      </c>
      <c r="BJ47" s="79" t="s">
        <v>2870</v>
      </c>
      <c r="BK47" t="s">
        <v>3029</v>
      </c>
      <c r="BL47" s="80" t="s">
        <v>2871</v>
      </c>
      <c r="BM47" s="125" t="s">
        <v>2872</v>
      </c>
      <c r="BN47" s="122" t="s">
        <v>1994</v>
      </c>
    </row>
    <row r="48" spans="1:66" ht="18.95" customHeight="1" x14ac:dyDescent="0.25">
      <c r="A48" t="s">
        <v>3033</v>
      </c>
      <c r="B48" t="s">
        <v>2016</v>
      </c>
      <c r="C48" s="109" t="s">
        <v>3066</v>
      </c>
      <c r="D48" s="109" t="s">
        <v>3034</v>
      </c>
      <c r="E48" t="s">
        <v>3028</v>
      </c>
      <c r="F48" t="s">
        <v>3032</v>
      </c>
      <c r="G48">
        <v>2022</v>
      </c>
      <c r="H48" t="s">
        <v>2140</v>
      </c>
      <c r="I48" t="s">
        <v>59</v>
      </c>
      <c r="J48" t="s">
        <v>2001</v>
      </c>
      <c r="K48" t="s">
        <v>2004</v>
      </c>
      <c r="L48" s="71" t="s">
        <v>1806</v>
      </c>
      <c r="M48" s="71" t="s">
        <v>862</v>
      </c>
      <c r="N48" s="71" t="s">
        <v>968</v>
      </c>
      <c r="O48" s="71" t="s">
        <v>1002</v>
      </c>
      <c r="P48" s="71" t="s">
        <v>1072</v>
      </c>
      <c r="Q48" s="22" t="s">
        <v>1073</v>
      </c>
      <c r="R48" s="22" t="s">
        <v>2970</v>
      </c>
      <c r="T48" s="47" t="s">
        <v>2867</v>
      </c>
      <c r="U48" s="72" t="s">
        <v>1995</v>
      </c>
      <c r="V48" s="72" t="s">
        <v>1995</v>
      </c>
      <c r="W48" s="72" t="s">
        <v>2001</v>
      </c>
      <c r="X48" s="72" t="s">
        <v>2001</v>
      </c>
      <c r="Y48" s="72" t="s">
        <v>2241</v>
      </c>
      <c r="Z48" s="72" t="s">
        <v>1984</v>
      </c>
      <c r="AA48" s="72" t="s">
        <v>1992</v>
      </c>
      <c r="AB48" t="s">
        <v>1861</v>
      </c>
      <c r="AC48" s="36" t="s">
        <v>1865</v>
      </c>
      <c r="AD48" s="36" t="s">
        <v>2001</v>
      </c>
      <c r="AE48" s="36" t="s">
        <v>67</v>
      </c>
      <c r="AF48" s="36"/>
      <c r="AG48">
        <v>2019</v>
      </c>
      <c r="AH48" s="36" t="s">
        <v>2007</v>
      </c>
      <c r="AI48">
        <v>2019</v>
      </c>
      <c r="AJ48">
        <v>2019</v>
      </c>
      <c r="AK48" s="50">
        <v>2019</v>
      </c>
      <c r="AL48" s="50">
        <v>2019</v>
      </c>
      <c r="AM48" t="s">
        <v>2008</v>
      </c>
      <c r="AN48" s="1">
        <f>128058*136</f>
        <v>17415888</v>
      </c>
      <c r="AQ48" s="70">
        <f t="shared" ref="AQ48:AQ49" si="27">AN48*0.6947*(111.175/127.3)</f>
        <v>10566268.84315381</v>
      </c>
      <c r="AR48" s="70">
        <f t="shared" ref="AR48:AR49" si="28">(AN48/1.358727)*(292.626/245.121)</f>
        <v>15301915.827242643</v>
      </c>
      <c r="AS48" s="70">
        <f t="shared" si="2"/>
        <v>17415888</v>
      </c>
      <c r="AT48" s="70">
        <f t="shared" ref="AT48:AT49" si="29">AN48*0.6947*(111.175/127.3)</f>
        <v>10566268.84315381</v>
      </c>
      <c r="AU48" s="70">
        <f t="shared" ref="AU48:AU49" si="30">(AN48/1.358727)*(292.626/245.121)</f>
        <v>15301915.827242643</v>
      </c>
      <c r="AV48" t="s">
        <v>2868</v>
      </c>
      <c r="AW48">
        <v>2022</v>
      </c>
      <c r="AX48" t="s">
        <v>1998</v>
      </c>
      <c r="AY48" t="s">
        <v>1999</v>
      </c>
      <c r="AZ48" t="s">
        <v>2011</v>
      </c>
      <c r="BA48" t="s">
        <v>139</v>
      </c>
      <c r="BB48" t="s">
        <v>2195</v>
      </c>
      <c r="BC48" t="s">
        <v>2195</v>
      </c>
      <c r="BD48" t="s">
        <v>2200</v>
      </c>
      <c r="BE48" t="s">
        <v>2000</v>
      </c>
      <c r="BF48" t="s">
        <v>2000</v>
      </c>
      <c r="BG48" t="s">
        <v>3029</v>
      </c>
      <c r="BI48" s="124" t="s">
        <v>2869</v>
      </c>
      <c r="BJ48" s="79" t="s">
        <v>2870</v>
      </c>
      <c r="BK48" t="s">
        <v>3029</v>
      </c>
      <c r="BL48" s="80" t="s">
        <v>2871</v>
      </c>
      <c r="BM48" s="77" t="s">
        <v>2872</v>
      </c>
      <c r="BN48" s="127" t="s">
        <v>1994</v>
      </c>
    </row>
    <row r="49" spans="1:66" ht="18.95" customHeight="1" x14ac:dyDescent="0.25">
      <c r="A49" t="s">
        <v>3035</v>
      </c>
      <c r="B49" t="s">
        <v>2016</v>
      </c>
      <c r="C49" s="109" t="s">
        <v>3066</v>
      </c>
      <c r="D49" s="109" t="s">
        <v>3036</v>
      </c>
      <c r="E49" t="s">
        <v>3028</v>
      </c>
      <c r="F49" t="s">
        <v>3032</v>
      </c>
      <c r="G49">
        <v>2022</v>
      </c>
      <c r="H49" t="s">
        <v>2140</v>
      </c>
      <c r="I49" t="s">
        <v>59</v>
      </c>
      <c r="J49" t="s">
        <v>2001</v>
      </c>
      <c r="K49" t="s">
        <v>2004</v>
      </c>
      <c r="L49" s="71" t="s">
        <v>1806</v>
      </c>
      <c r="M49" s="71" t="s">
        <v>862</v>
      </c>
      <c r="N49" s="71" t="s">
        <v>968</v>
      </c>
      <c r="O49" s="71" t="s">
        <v>1002</v>
      </c>
      <c r="P49" s="71" t="s">
        <v>1072</v>
      </c>
      <c r="Q49" s="22" t="s">
        <v>1073</v>
      </c>
      <c r="R49" s="22" t="s">
        <v>2970</v>
      </c>
      <c r="T49" s="47" t="s">
        <v>2867</v>
      </c>
      <c r="U49" s="72" t="s">
        <v>1995</v>
      </c>
      <c r="V49" s="72" t="s">
        <v>1995</v>
      </c>
      <c r="W49" s="72" t="s">
        <v>2001</v>
      </c>
      <c r="X49" s="72" t="s">
        <v>2001</v>
      </c>
      <c r="Y49" s="72" t="s">
        <v>2241</v>
      </c>
      <c r="Z49" s="72" t="s">
        <v>1984</v>
      </c>
      <c r="AA49" s="72" t="s">
        <v>1992</v>
      </c>
      <c r="AB49" t="s">
        <v>1861</v>
      </c>
      <c r="AC49" s="36" t="s">
        <v>1865</v>
      </c>
      <c r="AD49" s="36" t="s">
        <v>2001</v>
      </c>
      <c r="AE49" s="36" t="s">
        <v>67</v>
      </c>
      <c r="AF49" s="36"/>
      <c r="AG49">
        <v>2016</v>
      </c>
      <c r="AH49" s="36" t="s">
        <v>2007</v>
      </c>
      <c r="AI49">
        <v>2016</v>
      </c>
      <c r="AJ49">
        <v>2016</v>
      </c>
      <c r="AK49" s="50">
        <v>2016</v>
      </c>
      <c r="AL49" s="50">
        <v>2016</v>
      </c>
      <c r="AM49" t="s">
        <v>2008</v>
      </c>
      <c r="AN49" s="1">
        <f>132246*57</f>
        <v>7538022</v>
      </c>
      <c r="AQ49" s="70">
        <f t="shared" si="27"/>
        <v>4573339.4127022391</v>
      </c>
      <c r="AR49" s="70">
        <f t="shared" si="28"/>
        <v>6623043.1745945569</v>
      </c>
      <c r="AS49" s="70">
        <f t="shared" si="2"/>
        <v>7538022</v>
      </c>
      <c r="AT49" s="70">
        <f t="shared" si="29"/>
        <v>4573339.4127022391</v>
      </c>
      <c r="AU49" s="70">
        <f t="shared" si="30"/>
        <v>6623043.1745945569</v>
      </c>
      <c r="AV49" t="s">
        <v>2868</v>
      </c>
      <c r="AW49">
        <v>2022</v>
      </c>
      <c r="AX49" t="s">
        <v>1998</v>
      </c>
      <c r="AY49" t="s">
        <v>1999</v>
      </c>
      <c r="AZ49" t="s">
        <v>2011</v>
      </c>
      <c r="BA49" t="s">
        <v>139</v>
      </c>
      <c r="BB49" t="s">
        <v>2195</v>
      </c>
      <c r="BC49" t="s">
        <v>2195</v>
      </c>
      <c r="BD49" t="s">
        <v>2200</v>
      </c>
      <c r="BE49" t="s">
        <v>2000</v>
      </c>
      <c r="BF49" t="s">
        <v>2000</v>
      </c>
      <c r="BG49" t="s">
        <v>3029</v>
      </c>
      <c r="BI49" s="123" t="s">
        <v>2869</v>
      </c>
      <c r="BJ49" s="79" t="s">
        <v>2870</v>
      </c>
      <c r="BK49" t="s">
        <v>3029</v>
      </c>
      <c r="BL49" s="80" t="s">
        <v>2871</v>
      </c>
      <c r="BM49" s="77" t="s">
        <v>2872</v>
      </c>
      <c r="BN49" s="127" t="s">
        <v>1994</v>
      </c>
    </row>
    <row r="50" spans="1:66" ht="18.95" customHeight="1" x14ac:dyDescent="0.25">
      <c r="A50" t="s">
        <v>3079</v>
      </c>
      <c r="B50" t="s">
        <v>2016</v>
      </c>
      <c r="C50" s="109" t="s">
        <v>3065</v>
      </c>
      <c r="D50" s="109" t="s">
        <v>3038</v>
      </c>
      <c r="E50" t="s">
        <v>3037</v>
      </c>
      <c r="G50">
        <v>2025</v>
      </c>
      <c r="H50" t="s">
        <v>2140</v>
      </c>
      <c r="I50" t="s">
        <v>59</v>
      </c>
      <c r="J50" t="s">
        <v>2001</v>
      </c>
      <c r="K50" t="s">
        <v>2004</v>
      </c>
      <c r="L50" s="71" t="s">
        <v>1806</v>
      </c>
      <c r="M50" s="71" t="s">
        <v>862</v>
      </c>
      <c r="N50" s="71" t="s">
        <v>968</v>
      </c>
      <c r="O50" s="71" t="s">
        <v>1002</v>
      </c>
      <c r="P50" s="71" t="s">
        <v>1072</v>
      </c>
      <c r="Q50" s="22" t="s">
        <v>1073</v>
      </c>
      <c r="R50" s="22" t="s">
        <v>2970</v>
      </c>
      <c r="T50" s="47" t="s">
        <v>2867</v>
      </c>
      <c r="U50" s="72" t="s">
        <v>1995</v>
      </c>
      <c r="V50" s="72" t="s">
        <v>1995</v>
      </c>
      <c r="W50" s="72" t="s">
        <v>2001</v>
      </c>
      <c r="X50" s="72" t="s">
        <v>2001</v>
      </c>
      <c r="Y50" s="72" t="s">
        <v>2241</v>
      </c>
      <c r="Z50" s="72" t="s">
        <v>1984</v>
      </c>
      <c r="AA50" s="72" t="s">
        <v>1992</v>
      </c>
      <c r="AB50" t="s">
        <v>1861</v>
      </c>
      <c r="AC50" s="36" t="s">
        <v>1865</v>
      </c>
      <c r="AD50" s="36" t="s">
        <v>3039</v>
      </c>
      <c r="AE50" s="36" t="s">
        <v>67</v>
      </c>
      <c r="AF50" s="36" t="s">
        <v>3044</v>
      </c>
      <c r="AG50">
        <v>2025</v>
      </c>
      <c r="AH50" s="36" t="s">
        <v>2007</v>
      </c>
      <c r="AI50">
        <v>2025</v>
      </c>
      <c r="AJ50">
        <v>2025</v>
      </c>
      <c r="AK50" s="50">
        <v>2025</v>
      </c>
      <c r="AL50" s="50">
        <v>2025</v>
      </c>
      <c r="AM50" t="s">
        <v>1997</v>
      </c>
      <c r="AN50" s="1">
        <f>(50*3000)+200000</f>
        <v>350000</v>
      </c>
      <c r="AQ50" s="70">
        <f>AN50*0.7669*(111.175/142)</f>
        <v>210148.15228873238</v>
      </c>
      <c r="AR50" s="70">
        <f>(AN50/1.364388)*(321.962/245.121)</f>
        <v>336941.30229453504</v>
      </c>
      <c r="AS50" s="70">
        <f t="shared" si="2"/>
        <v>350000</v>
      </c>
      <c r="AT50" s="70">
        <f>AN50*0.7669*(111.175/142)</f>
        <v>210148.15228873238</v>
      </c>
      <c r="AU50" s="70">
        <f>(AN50/1.364388)*(321.962/245.121)</f>
        <v>336941.30229453504</v>
      </c>
      <c r="AV50" t="s">
        <v>2868</v>
      </c>
      <c r="AW50">
        <v>2025</v>
      </c>
      <c r="AX50" t="s">
        <v>1998</v>
      </c>
      <c r="AY50" t="s">
        <v>1999</v>
      </c>
      <c r="AZ50" t="s">
        <v>2011</v>
      </c>
      <c r="BA50" t="s">
        <v>140</v>
      </c>
      <c r="BB50" t="s">
        <v>2195</v>
      </c>
      <c r="BC50" t="s">
        <v>2195</v>
      </c>
      <c r="BD50" t="s">
        <v>2200</v>
      </c>
      <c r="BE50" t="s">
        <v>2000</v>
      </c>
      <c r="BF50" t="s">
        <v>2000</v>
      </c>
      <c r="BG50" t="s">
        <v>3040</v>
      </c>
      <c r="BI50" s="122" t="s">
        <v>2869</v>
      </c>
      <c r="BJ50" s="79" t="s">
        <v>2870</v>
      </c>
      <c r="BK50" t="s">
        <v>3040</v>
      </c>
      <c r="BL50" s="80" t="s">
        <v>2871</v>
      </c>
      <c r="BM50" s="77" t="s">
        <v>2872</v>
      </c>
      <c r="BN50" s="127" t="s">
        <v>1994</v>
      </c>
    </row>
    <row r="51" spans="1:66" ht="18.95" customHeight="1" x14ac:dyDescent="0.25">
      <c r="A51" t="s">
        <v>3080</v>
      </c>
      <c r="B51" t="s">
        <v>2016</v>
      </c>
      <c r="C51" t="s">
        <v>3045</v>
      </c>
      <c r="D51" s="111" t="s">
        <v>3045</v>
      </c>
      <c r="E51" s="111" t="s">
        <v>3045</v>
      </c>
      <c r="G51">
        <v>2024</v>
      </c>
      <c r="H51" t="s">
        <v>2140</v>
      </c>
      <c r="I51" t="s">
        <v>59</v>
      </c>
      <c r="J51" t="s">
        <v>2001</v>
      </c>
      <c r="K51" t="s">
        <v>2004</v>
      </c>
      <c r="L51" s="71" t="s">
        <v>1806</v>
      </c>
      <c r="M51" s="71" t="s">
        <v>862</v>
      </c>
      <c r="N51" s="71" t="s">
        <v>968</v>
      </c>
      <c r="O51" s="71" t="s">
        <v>1002</v>
      </c>
      <c r="P51" s="71" t="s">
        <v>1072</v>
      </c>
      <c r="Q51" s="22" t="s">
        <v>1073</v>
      </c>
      <c r="R51" s="22" t="s">
        <v>2970</v>
      </c>
      <c r="T51" s="47" t="s">
        <v>2867</v>
      </c>
      <c r="U51" s="72" t="s">
        <v>1995</v>
      </c>
      <c r="V51" s="72" t="s">
        <v>1995</v>
      </c>
      <c r="W51" s="72" t="s">
        <v>2001</v>
      </c>
      <c r="X51" s="72" t="s">
        <v>2001</v>
      </c>
      <c r="Y51" s="72" t="s">
        <v>2241</v>
      </c>
      <c r="Z51" s="72" t="s">
        <v>1984</v>
      </c>
      <c r="AA51" s="72" t="s">
        <v>1992</v>
      </c>
      <c r="AB51" t="s">
        <v>1861</v>
      </c>
      <c r="AC51" s="36" t="s">
        <v>1865</v>
      </c>
      <c r="AD51" s="36" t="s">
        <v>2930</v>
      </c>
      <c r="AE51" s="36" t="s">
        <v>67</v>
      </c>
      <c r="AF51" s="36"/>
      <c r="AG51">
        <v>2024</v>
      </c>
      <c r="AH51" s="36" t="s">
        <v>2007</v>
      </c>
      <c r="AI51">
        <v>2024</v>
      </c>
      <c r="AJ51">
        <v>2024</v>
      </c>
      <c r="AK51" s="50">
        <v>2024</v>
      </c>
      <c r="AL51" s="50">
        <v>2024</v>
      </c>
      <c r="AM51" t="s">
        <v>1997</v>
      </c>
      <c r="AN51" s="1">
        <v>19000</v>
      </c>
      <c r="AQ51" s="70">
        <f>AN51*0.6443*(111.175/138.675)</f>
        <v>9814.1049035514661</v>
      </c>
      <c r="AR51" s="70">
        <f>(AN51/1.366527)*(313.698/245.121)</f>
        <v>17793.714339656697</v>
      </c>
      <c r="AS51" s="70">
        <f t="shared" si="2"/>
        <v>19000</v>
      </c>
      <c r="AT51" s="70">
        <f>AN51*0.6443*(111.175/138.675)</f>
        <v>9814.1049035514661</v>
      </c>
      <c r="AU51" s="70">
        <f>(AN51/1.366527)*(313.698/245.121)</f>
        <v>17793.714339656697</v>
      </c>
      <c r="AV51" t="s">
        <v>2868</v>
      </c>
      <c r="AW51">
        <v>2024</v>
      </c>
      <c r="AX51" t="s">
        <v>1998</v>
      </c>
      <c r="AY51" t="s">
        <v>1999</v>
      </c>
      <c r="AZ51" t="s">
        <v>2011</v>
      </c>
      <c r="BA51" t="s">
        <v>140</v>
      </c>
      <c r="BB51" t="s">
        <v>2195</v>
      </c>
      <c r="BC51" t="s">
        <v>2195</v>
      </c>
      <c r="BD51" t="s">
        <v>2200</v>
      </c>
      <c r="BE51" t="s">
        <v>2000</v>
      </c>
      <c r="BF51" t="s">
        <v>2000</v>
      </c>
      <c r="BG51" s="110" t="s">
        <v>3046</v>
      </c>
      <c r="BI51" s="122" t="s">
        <v>2869</v>
      </c>
      <c r="BJ51" s="79" t="s">
        <v>2870</v>
      </c>
      <c r="BK51" s="110" t="s">
        <v>3046</v>
      </c>
      <c r="BL51" s="80" t="s">
        <v>2871</v>
      </c>
      <c r="BM51" s="77" t="s">
        <v>2872</v>
      </c>
      <c r="BN51" s="81" t="s">
        <v>1994</v>
      </c>
    </row>
    <row r="52" spans="1:66" ht="18.95" customHeight="1" x14ac:dyDescent="0.25">
      <c r="A52" t="s">
        <v>3047</v>
      </c>
      <c r="B52" t="s">
        <v>2016</v>
      </c>
      <c r="C52" t="s">
        <v>3045</v>
      </c>
      <c r="D52" s="111" t="s">
        <v>3045</v>
      </c>
      <c r="E52" s="111" t="s">
        <v>3045</v>
      </c>
      <c r="G52">
        <v>2026</v>
      </c>
      <c r="H52" t="s">
        <v>2140</v>
      </c>
      <c r="I52" t="s">
        <v>59</v>
      </c>
      <c r="J52" t="s">
        <v>2001</v>
      </c>
      <c r="K52" t="s">
        <v>2004</v>
      </c>
      <c r="L52" s="71" t="s">
        <v>1806</v>
      </c>
      <c r="M52" s="71" t="s">
        <v>862</v>
      </c>
      <c r="N52" s="71" t="s">
        <v>968</v>
      </c>
      <c r="O52" s="71" t="s">
        <v>1002</v>
      </c>
      <c r="P52" s="71" t="s">
        <v>1072</v>
      </c>
      <c r="Q52" s="22" t="s">
        <v>1073</v>
      </c>
      <c r="R52" s="22" t="s">
        <v>2970</v>
      </c>
      <c r="T52" s="47" t="s">
        <v>2867</v>
      </c>
      <c r="U52" s="72" t="s">
        <v>1995</v>
      </c>
      <c r="V52" s="72" t="s">
        <v>1995</v>
      </c>
      <c r="W52" s="72" t="s">
        <v>2001</v>
      </c>
      <c r="X52" s="72" t="s">
        <v>2001</v>
      </c>
      <c r="Y52" s="72" t="s">
        <v>2241</v>
      </c>
      <c r="Z52" s="72" t="s">
        <v>1984</v>
      </c>
      <c r="AA52" s="72" t="s">
        <v>1992</v>
      </c>
      <c r="AB52" t="s">
        <v>1861</v>
      </c>
      <c r="AC52" s="36" t="s">
        <v>1865</v>
      </c>
      <c r="AD52" s="36" t="s">
        <v>2930</v>
      </c>
      <c r="AE52" s="36" t="s">
        <v>67</v>
      </c>
      <c r="AF52" s="36"/>
      <c r="AG52">
        <v>2026</v>
      </c>
      <c r="AH52" s="36" t="s">
        <v>2007</v>
      </c>
      <c r="AI52">
        <v>2026</v>
      </c>
      <c r="AJ52">
        <v>2026</v>
      </c>
      <c r="AK52" s="50">
        <v>2026</v>
      </c>
      <c r="AL52" s="50">
        <v>2026</v>
      </c>
      <c r="AM52" t="s">
        <v>1997</v>
      </c>
      <c r="AN52" s="1">
        <v>31500</v>
      </c>
      <c r="AQ52" s="70">
        <f t="shared" ref="AQ52" si="31">AN52*0.6992*(111.175/143.6)</f>
        <v>17051.581754874656</v>
      </c>
      <c r="AR52" s="70"/>
      <c r="AS52" s="70">
        <f t="shared" si="2"/>
        <v>31500</v>
      </c>
      <c r="AT52" s="70">
        <f t="shared" ref="AT52" si="32">AN52*0.6992*(111.175/143.6)</f>
        <v>17051.581754874656</v>
      </c>
      <c r="AU52" s="70"/>
      <c r="AV52" t="s">
        <v>2868</v>
      </c>
      <c r="AW52">
        <v>2026</v>
      </c>
      <c r="AX52" t="s">
        <v>1998</v>
      </c>
      <c r="AY52" t="s">
        <v>1999</v>
      </c>
      <c r="AZ52" t="s">
        <v>2011</v>
      </c>
      <c r="BA52" t="s">
        <v>140</v>
      </c>
      <c r="BB52" t="s">
        <v>2195</v>
      </c>
      <c r="BC52" t="s">
        <v>2195</v>
      </c>
      <c r="BD52" t="s">
        <v>2200</v>
      </c>
      <c r="BE52" t="s">
        <v>2000</v>
      </c>
      <c r="BF52" t="s">
        <v>2000</v>
      </c>
      <c r="BG52" s="110" t="s">
        <v>3046</v>
      </c>
      <c r="BI52" s="122" t="s">
        <v>2869</v>
      </c>
      <c r="BJ52" s="79" t="s">
        <v>2870</v>
      </c>
      <c r="BK52" s="110" t="s">
        <v>3046</v>
      </c>
      <c r="BL52" s="80" t="s">
        <v>2871</v>
      </c>
      <c r="BM52" s="125" t="s">
        <v>2872</v>
      </c>
      <c r="BN52" s="123" t="s">
        <v>1994</v>
      </c>
    </row>
    <row r="53" spans="1:66" ht="18.95" customHeight="1" x14ac:dyDescent="0.25">
      <c r="A53" t="s">
        <v>3048</v>
      </c>
      <c r="B53" t="s">
        <v>2016</v>
      </c>
      <c r="C53" t="s">
        <v>3045</v>
      </c>
      <c r="D53" s="111" t="s">
        <v>3045</v>
      </c>
      <c r="E53" s="111" t="s">
        <v>3045</v>
      </c>
      <c r="G53">
        <v>2023</v>
      </c>
      <c r="H53" t="s">
        <v>2140</v>
      </c>
      <c r="I53" t="s">
        <v>59</v>
      </c>
      <c r="J53" t="s">
        <v>2001</v>
      </c>
      <c r="K53" t="s">
        <v>2004</v>
      </c>
      <c r="L53" s="71" t="s">
        <v>1806</v>
      </c>
      <c r="M53" s="71" t="s">
        <v>862</v>
      </c>
      <c r="N53" s="71" t="s">
        <v>968</v>
      </c>
      <c r="O53" s="71" t="s">
        <v>1002</v>
      </c>
      <c r="P53" s="71" t="s">
        <v>1072</v>
      </c>
      <c r="Q53" s="22" t="s">
        <v>1073</v>
      </c>
      <c r="R53" s="22" t="s">
        <v>2970</v>
      </c>
      <c r="T53" s="47" t="s">
        <v>2867</v>
      </c>
      <c r="U53" s="72" t="s">
        <v>1995</v>
      </c>
      <c r="V53" s="72" t="s">
        <v>1995</v>
      </c>
      <c r="W53" s="72" t="s">
        <v>2001</v>
      </c>
      <c r="X53" s="72" t="s">
        <v>2001</v>
      </c>
      <c r="Y53" s="72" t="s">
        <v>2241</v>
      </c>
      <c r="Z53" s="72" t="s">
        <v>1984</v>
      </c>
      <c r="AA53" s="72" t="s">
        <v>1992</v>
      </c>
      <c r="AB53" t="s">
        <v>1861</v>
      </c>
      <c r="AC53" s="36" t="s">
        <v>1865</v>
      </c>
      <c r="AD53" s="36" t="s">
        <v>2930</v>
      </c>
      <c r="AE53" s="36" t="s">
        <v>67</v>
      </c>
      <c r="AF53" s="36"/>
      <c r="AG53">
        <v>2023</v>
      </c>
      <c r="AH53" s="36" t="s">
        <v>2007</v>
      </c>
      <c r="AI53">
        <v>2023</v>
      </c>
      <c r="AJ53">
        <v>2023</v>
      </c>
      <c r="AK53" s="50">
        <v>2023</v>
      </c>
      <c r="AL53" s="50">
        <v>2023</v>
      </c>
      <c r="AM53" t="s">
        <v>1997</v>
      </c>
      <c r="AN53" s="1">
        <v>400000</v>
      </c>
      <c r="AQ53" s="70">
        <f>AN53*0.6644*(111.175/134.425)</f>
        <v>219794.4429979542</v>
      </c>
      <c r="AR53" s="70">
        <f>(AN53/1.337468)*(304.703/245.121)</f>
        <v>371768.6820274737</v>
      </c>
      <c r="AS53" s="70">
        <f t="shared" si="2"/>
        <v>400000</v>
      </c>
      <c r="AT53" s="70">
        <f>AN53*0.6644*(111.175/134.425)</f>
        <v>219794.4429979542</v>
      </c>
      <c r="AU53" s="70">
        <f>(AN53/1.337468)*(304.703/245.121)</f>
        <v>371768.6820274737</v>
      </c>
      <c r="AV53" t="s">
        <v>2868</v>
      </c>
      <c r="AW53">
        <v>2023</v>
      </c>
      <c r="AX53" t="s">
        <v>1998</v>
      </c>
      <c r="AY53" t="s">
        <v>1999</v>
      </c>
      <c r="AZ53" t="s">
        <v>2011</v>
      </c>
      <c r="BA53" t="s">
        <v>140</v>
      </c>
      <c r="BB53" t="s">
        <v>2195</v>
      </c>
      <c r="BC53" t="s">
        <v>2195</v>
      </c>
      <c r="BD53" t="s">
        <v>2200</v>
      </c>
      <c r="BE53" t="s">
        <v>2000</v>
      </c>
      <c r="BF53" t="s">
        <v>2000</v>
      </c>
      <c r="BG53" s="110" t="s">
        <v>3046</v>
      </c>
      <c r="BI53" s="122" t="s">
        <v>2869</v>
      </c>
      <c r="BJ53" s="79" t="s">
        <v>2870</v>
      </c>
      <c r="BK53" s="110" t="s">
        <v>3046</v>
      </c>
      <c r="BL53" s="80" t="s">
        <v>2871</v>
      </c>
      <c r="BM53" s="125" t="s">
        <v>2872</v>
      </c>
      <c r="BN53" s="122" t="s">
        <v>1994</v>
      </c>
    </row>
    <row r="54" spans="1:66" ht="18.95" customHeight="1" x14ac:dyDescent="0.25">
      <c r="A54" t="s">
        <v>3049</v>
      </c>
      <c r="B54" t="s">
        <v>2016</v>
      </c>
      <c r="C54" t="s">
        <v>3045</v>
      </c>
      <c r="D54" s="111" t="s">
        <v>3045</v>
      </c>
      <c r="E54" s="111" t="s">
        <v>3045</v>
      </c>
      <c r="G54">
        <v>2024</v>
      </c>
      <c r="H54" t="s">
        <v>2140</v>
      </c>
      <c r="I54" t="s">
        <v>59</v>
      </c>
      <c r="J54" t="s">
        <v>2001</v>
      </c>
      <c r="K54" t="s">
        <v>2004</v>
      </c>
      <c r="L54" s="71" t="s">
        <v>1806</v>
      </c>
      <c r="M54" s="71" t="s">
        <v>862</v>
      </c>
      <c r="N54" s="71" t="s">
        <v>968</v>
      </c>
      <c r="O54" s="71" t="s">
        <v>1002</v>
      </c>
      <c r="P54" s="71" t="s">
        <v>1072</v>
      </c>
      <c r="Q54" s="22" t="s">
        <v>1073</v>
      </c>
      <c r="R54" s="22" t="s">
        <v>2970</v>
      </c>
      <c r="T54" s="47" t="s">
        <v>2867</v>
      </c>
      <c r="U54" s="72" t="s">
        <v>1995</v>
      </c>
      <c r="V54" s="72" t="s">
        <v>1995</v>
      </c>
      <c r="W54" s="72" t="s">
        <v>2001</v>
      </c>
      <c r="X54" s="72" t="s">
        <v>2001</v>
      </c>
      <c r="Y54" s="72" t="s">
        <v>2241</v>
      </c>
      <c r="Z54" s="72" t="s">
        <v>1984</v>
      </c>
      <c r="AA54" s="72" t="s">
        <v>1992</v>
      </c>
      <c r="AB54" t="s">
        <v>1861</v>
      </c>
      <c r="AC54" s="36" t="s">
        <v>1865</v>
      </c>
      <c r="AD54" s="36" t="s">
        <v>2930</v>
      </c>
      <c r="AE54" s="36" t="s">
        <v>67</v>
      </c>
      <c r="AF54" s="36"/>
      <c r="AG54">
        <v>2024</v>
      </c>
      <c r="AH54" s="36" t="s">
        <v>2007</v>
      </c>
      <c r="AI54">
        <v>2024</v>
      </c>
      <c r="AJ54">
        <v>2024</v>
      </c>
      <c r="AK54" s="50">
        <v>2024</v>
      </c>
      <c r="AL54" s="50">
        <v>2024</v>
      </c>
      <c r="AM54" t="s">
        <v>1997</v>
      </c>
      <c r="AN54" s="1">
        <v>330000</v>
      </c>
      <c r="AQ54" s="70">
        <f>AN54*0.6443*(111.175/138.675)</f>
        <v>170455.50621957812</v>
      </c>
      <c r="AR54" s="70">
        <f>(AN54/1.366527)*(313.698/245.121)</f>
        <v>309048.72274140583</v>
      </c>
      <c r="AS54" s="70">
        <f t="shared" si="2"/>
        <v>330000</v>
      </c>
      <c r="AT54" s="70">
        <f>AN54*0.6443*(111.175/138.675)</f>
        <v>170455.50621957812</v>
      </c>
      <c r="AU54" s="70">
        <f>(AN54/1.366527)*(313.698/245.121)</f>
        <v>309048.72274140583</v>
      </c>
      <c r="AV54" t="s">
        <v>2868</v>
      </c>
      <c r="AW54">
        <v>2024</v>
      </c>
      <c r="AX54" t="s">
        <v>1998</v>
      </c>
      <c r="AY54" t="s">
        <v>1999</v>
      </c>
      <c r="AZ54" t="s">
        <v>2011</v>
      </c>
      <c r="BA54" t="s">
        <v>140</v>
      </c>
      <c r="BB54" t="s">
        <v>2195</v>
      </c>
      <c r="BC54" t="s">
        <v>2195</v>
      </c>
      <c r="BD54" t="s">
        <v>2200</v>
      </c>
      <c r="BE54" t="s">
        <v>2000</v>
      </c>
      <c r="BF54" t="s">
        <v>2000</v>
      </c>
      <c r="BG54" s="110" t="s">
        <v>3046</v>
      </c>
      <c r="BI54" s="122" t="s">
        <v>2869</v>
      </c>
      <c r="BJ54" s="79" t="s">
        <v>2870</v>
      </c>
      <c r="BK54" s="110" t="s">
        <v>3046</v>
      </c>
      <c r="BL54" s="80" t="s">
        <v>2871</v>
      </c>
      <c r="BM54" s="125" t="s">
        <v>2872</v>
      </c>
      <c r="BN54" s="123" t="s">
        <v>1994</v>
      </c>
    </row>
    <row r="55" spans="1:66" ht="18.95" customHeight="1" x14ac:dyDescent="0.3">
      <c r="A55" t="s">
        <v>3078</v>
      </c>
      <c r="B55" t="s">
        <v>2016</v>
      </c>
      <c r="C55" t="s">
        <v>3073</v>
      </c>
      <c r="D55" s="114" t="s">
        <v>3074</v>
      </c>
      <c r="E55" t="s">
        <v>3073</v>
      </c>
      <c r="F55" t="s">
        <v>3075</v>
      </c>
      <c r="G55">
        <v>2022</v>
      </c>
      <c r="H55" t="s">
        <v>2140</v>
      </c>
      <c r="I55" t="s">
        <v>61</v>
      </c>
      <c r="J55" t="s">
        <v>2001</v>
      </c>
      <c r="K55" t="s">
        <v>2004</v>
      </c>
      <c r="L55" s="22" t="s">
        <v>1806</v>
      </c>
      <c r="M55" s="22" t="s">
        <v>862</v>
      </c>
      <c r="N55" s="22" t="s">
        <v>968</v>
      </c>
      <c r="O55" s="22" t="s">
        <v>1002</v>
      </c>
      <c r="P55" s="22" t="s">
        <v>1072</v>
      </c>
      <c r="Q55" s="22" t="s">
        <v>1073</v>
      </c>
      <c r="R55" s="22" t="s">
        <v>2866</v>
      </c>
      <c r="S55" s="46"/>
      <c r="T55" s="47" t="s">
        <v>2867</v>
      </c>
      <c r="U55" s="65" t="s">
        <v>1995</v>
      </c>
      <c r="V55" s="65" t="s">
        <v>1995</v>
      </c>
      <c r="W55" s="65" t="s">
        <v>2001</v>
      </c>
      <c r="X55" s="65" t="s">
        <v>2001</v>
      </c>
      <c r="Y55" s="65" t="s">
        <v>2241</v>
      </c>
      <c r="Z55" s="65" t="s">
        <v>1992</v>
      </c>
      <c r="AA55" s="65" t="s">
        <v>1992</v>
      </c>
      <c r="AB55" t="s">
        <v>1861</v>
      </c>
      <c r="AC55" s="36" t="s">
        <v>1865</v>
      </c>
      <c r="AD55" s="36" t="s">
        <v>2001</v>
      </c>
      <c r="AE55" s="36" t="s">
        <v>67</v>
      </c>
      <c r="AF55" s="36" t="s">
        <v>74</v>
      </c>
      <c r="AG55" t="s">
        <v>3076</v>
      </c>
      <c r="AH55" s="36" t="s">
        <v>2007</v>
      </c>
      <c r="AI55">
        <v>2021</v>
      </c>
      <c r="AJ55">
        <v>2021</v>
      </c>
      <c r="AK55" s="70">
        <v>2021</v>
      </c>
      <c r="AL55" s="70">
        <v>2021</v>
      </c>
      <c r="AM55" t="s">
        <v>2008</v>
      </c>
      <c r="AN55">
        <v>35999000</v>
      </c>
      <c r="AO55"/>
      <c r="AP55"/>
      <c r="AQ55" s="70">
        <f t="shared" ref="AQ55" si="33">AN55*0.7513*(111.175/119.425)</f>
        <v>25177680.253066778</v>
      </c>
      <c r="AR55" s="70">
        <f t="shared" ref="AR55" si="34">(AN55/1.395724)*(270.973/245.121)</f>
        <v>28512571.690964963</v>
      </c>
      <c r="AS55" s="70">
        <f t="shared" si="2"/>
        <v>35999000</v>
      </c>
      <c r="AT55" s="70">
        <f t="shared" ref="AT55" si="35">AN55*0.7513*(111.175/119.425)</f>
        <v>25177680.253066778</v>
      </c>
      <c r="AU55" s="70">
        <f t="shared" ref="AU55" si="36">(AN55/1.395724)*(270.973/245.121)</f>
        <v>28512571.690964963</v>
      </c>
      <c r="AV55" t="s">
        <v>2868</v>
      </c>
      <c r="AW55">
        <v>2021</v>
      </c>
      <c r="AX55" t="s">
        <v>2009</v>
      </c>
      <c r="AY55" t="s">
        <v>1999</v>
      </c>
      <c r="AZ55" t="s">
        <v>2011</v>
      </c>
      <c r="BA55" t="s">
        <v>139</v>
      </c>
      <c r="BB55" t="s">
        <v>2194</v>
      </c>
      <c r="BC55" t="s">
        <v>2194</v>
      </c>
      <c r="BD55" t="s">
        <v>2001</v>
      </c>
      <c r="BE55" t="s">
        <v>2000</v>
      </c>
      <c r="BF55" t="s">
        <v>2000</v>
      </c>
      <c r="BG55" s="115" t="s">
        <v>3077</v>
      </c>
      <c r="BH55" s="115"/>
      <c r="BI55" s="117" t="s">
        <v>2869</v>
      </c>
      <c r="BJ55" t="s">
        <v>2870</v>
      </c>
      <c r="BK55" s="115" t="s">
        <v>3077</v>
      </c>
      <c r="BL55" t="s">
        <v>2871</v>
      </c>
      <c r="BM55" s="69" t="s">
        <v>2872</v>
      </c>
      <c r="BN55" s="117" t="s">
        <v>1994</v>
      </c>
    </row>
    <row r="56" spans="1:66" ht="18.95" customHeight="1" x14ac:dyDescent="0.25">
      <c r="BI56" s="117"/>
    </row>
  </sheetData>
  <phoneticPr fontId="2" type="noConversion"/>
  <dataValidations count="18">
    <dataValidation errorStyle="warning" allowBlank="1" showInputMessage="1" showErrorMessage="1" error="The term entered is not in the list. _x000a_Please choose one from it or hit “Yes” to be able to add it if you’re proposing a new one. _x000a_Alert the team of updates of the new addition to update the template. " sqref="BB2:BB49 BB55:BB1048576" xr:uid="{00000000-0002-0000-0100-000010000000}"/>
    <dataValidation type="list" allowBlank="1" showInputMessage="1" showErrorMessage="1" sqref="AH2:AH26 AH28:AH43 AH55" xr:uid="{00000000-0002-0000-0100-000000000000}">
      <formula1>"Period, Year"</formula1>
    </dataValidation>
    <dataValidation type="list" allowBlank="1" showInputMessage="1" showErrorMessage="1" sqref="AM2:AM42 AM55" xr:uid="{00000000-0002-0000-0100-000001000000}">
      <formula1>"One-time, Potentially ongoing"</formula1>
    </dataValidation>
    <dataValidation type="list" allowBlank="1" showInputMessage="1" showErrorMessage="1" sqref="AX2:AX42 AX55" xr:uid="{00000000-0002-0000-0100-000002000000}">
      <formula1>"Effective, Publication year"</formula1>
    </dataValidation>
    <dataValidation type="list" allowBlank="1" showInputMessage="1" showErrorMessage="1" sqref="AY2:AY42 AY55" xr:uid="{00000000-0002-0000-0100-000003000000}">
      <formula1>"Observed, Potential"</formula1>
    </dataValidation>
    <dataValidation type="list" allowBlank="1" showInputMessage="1" showErrorMessage="1" sqref="AZ2:AZ46 AZ55" xr:uid="{00000000-0002-0000-0100-000004000000}">
      <formula1>"Report/Estimation, Extrapolation"</formula1>
    </dataValidation>
    <dataValidation type="list" allowBlank="1" showInputMessage="1" showErrorMessage="1" sqref="BE2:BF26 BE27:BE28 BE29:BF49 BE55:BF55" xr:uid="{00000000-0002-0000-0100-000005000000}">
      <formula1>"High, Low"</formula1>
    </dataValidation>
    <dataValidation type="list" allowBlank="1" showInputMessage="1" showErrorMessage="1" sqref="K2:K26 BN2:BN46 K28:K42 BN55 K55" xr:uid="{00000000-0002-0000-0100-000009000000}">
      <formula1>"Yes, No"</formula1>
    </dataValidation>
    <dataValidation type="list" errorStyle="warning" allowBlank="1" showInputMessage="1" showErrorMessage="1" error="The term entered is not in the list. _x000a_Please choose one from it or hit “Yes” to be able to add the term if you want to propose it as a new one. _x000a_Please alert the team of updates about your new addition at updates@invacost.fr”" sqref="B28:B43 B2:B26 B55" xr:uid="{00000000-0002-0000-0100-00000B000000}">
      <formula1>"Go, GS, TC, WoS"</formula1>
    </dataValidation>
    <dataValidation type="list" errorStyle="warning" allowBlank="1" showInputMessage="1" showErrorMessage="1" error="The term entered is not in the list. _x000a_Please choose one from it or hit “Yes” to be able to add it if you’re proposing a new one. _x000a_Alert the team of updates of the new addition to update the template. " sqref="BC2:BC49 BC55" xr:uid="{00000000-0002-0000-0100-000011000000}">
      <formula1>"Damage,Management,Mixed,Unspecified"</formula1>
    </dataValidation>
    <dataValidation type="list" allowBlank="1" showInputMessage="1" showErrorMessage="1" sqref="BD2:BD49 BD55" xr:uid="{00000000-0002-0000-0100-000012000000}">
      <formula1>"Pre-invasion management,Post-invasion management,Knowledge/Funding,Mixed,Unspecified,NA"</formula1>
    </dataValidation>
    <dataValidation type="list" allowBlank="1" showInputMessage="1" showErrorMessage="1" sqref="BJ2:BJ55" xr:uid="{00000000-0002-0000-0100-000006000000}">
      <formula1>"yes, no"</formula1>
    </dataValidation>
    <dataValidation type="list" allowBlank="1" showInputMessage="1" showErrorMessage="1" sqref="U2:U55" xr:uid="{00000000-0002-0000-0100-00000D000000}">
      <formula1>"Aquatic, Diverse/Unspecified,Semi-aquatic,Terrestrial"</formula1>
    </dataValidation>
    <dataValidation errorStyle="warning" allowBlank="1" showInputMessage="1" showErrorMessage="1" error="This specie name is not in the list. _x000a_Please check if the spelling is correct or hit &quot;Yes&quot; to be able to add it if it is a new addition. _x000a_Please alert the team of updates about your new addition at updates@invacost.fr”. _x000a_" sqref="S2:S42 S55:S1048576" xr:uid="{00000000-0002-0000-0100-000013000000}"/>
    <dataValidation type="list" allowBlank="1" showInputMessage="1" showErrorMessage="1" sqref="Z2:AA42 Z55:AA55" xr:uid="{00000000-0002-0000-0100-00000F000000}">
      <formula1>"Y,N,NA"</formula1>
    </dataValidation>
    <dataValidation type="list" allowBlank="1" showInputMessage="1" showErrorMessage="1" sqref="Z2:AA42 V2:V55 Z55:AA55" xr:uid="{00000000-0002-0000-0100-00000E000000}">
      <formula1>"Aquatic, Diverse/Unspecified,Semi-Aquatic, Terrestrial"</formula1>
    </dataValidation>
    <dataValidation type="list" allowBlank="1" showInputMessage="1" showErrorMessage="1" sqref="Y2:Y1048576" xr:uid="{C9956DE1-4D38-6341-92B1-8A37F4900416}">
      <formula1>"urban,other,both"</formula1>
    </dataValidation>
    <dataValidation type="list" errorStyle="information" allowBlank="1" showInputMessage="1" showErrorMessage="1" errorTitle="Two or more" error="If you need to choose 2 or more, please separate them by a &quot;\&quot;" sqref="X2:X1048576" xr:uid="{DFAE1292-71B2-E941-9AA6-461F70635D57}">
      <formula1>"1,2,3,4,4a,4b,5,6,7,8,9,10,11,12,12a,12b,NA"</formula1>
    </dataValidation>
  </dataValidations>
  <hyperlinks>
    <hyperlink ref="BM2" r:id="rId1" xr:uid="{D7DD6172-46F8-4EE7-B299-6CAEE9F11402}"/>
    <hyperlink ref="BM3" r:id="rId2" xr:uid="{3C68348B-5578-4B96-A864-45C1159C8B0C}"/>
    <hyperlink ref="BM8" r:id="rId3" xr:uid="{415B740E-A863-4E87-9500-ECCF1F0FDC9A}"/>
    <hyperlink ref="BM9" r:id="rId4" xr:uid="{CDB823C6-3080-476D-A102-0EEB10FEC902}"/>
    <hyperlink ref="BM10" r:id="rId5" xr:uid="{71B8F0E1-61A3-4B0E-9B7C-30BFC768EBF3}"/>
    <hyperlink ref="BM11" r:id="rId6" xr:uid="{B6F40F02-C011-459B-9605-2A7267238874}"/>
    <hyperlink ref="BM12" r:id="rId7" xr:uid="{1C98A4DA-EA1A-4218-ACCC-C23C3DC2DF8A}"/>
    <hyperlink ref="BM13" r:id="rId8" xr:uid="{B3818FDA-D16B-49A2-AF0C-F8536FE78807}"/>
    <hyperlink ref="BM24" r:id="rId9" xr:uid="{C63A36B0-3F34-4F36-A3CB-46388AF7C84F}"/>
    <hyperlink ref="BM25" r:id="rId10" xr:uid="{9B7CA182-B752-4054-87E6-F294484D3D73}"/>
    <hyperlink ref="BM26" r:id="rId11" xr:uid="{B14504D9-6873-4CA0-8002-0A927E3065FE}"/>
    <hyperlink ref="BM27" r:id="rId12" xr:uid="{C3886C47-DD17-4BF4-BADE-6E0B93255D25}"/>
    <hyperlink ref="BM29" r:id="rId13" xr:uid="{E33E3EA0-E49F-4A0C-A89B-F02F878C3F37}"/>
    <hyperlink ref="BM30" r:id="rId14" xr:uid="{4C4E58EE-61F7-4389-A967-3FD6334D2D15}"/>
    <hyperlink ref="BM31" r:id="rId15" xr:uid="{E807B791-5E57-44E7-8871-DBA212E16E68}"/>
    <hyperlink ref="BM32" r:id="rId16" xr:uid="{8308DD73-2696-4490-8EC2-A97716A9366F}"/>
    <hyperlink ref="BM33" r:id="rId17" xr:uid="{FD96F76B-AB65-4360-AA77-69DC9ACB6AD0}"/>
    <hyperlink ref="BM34" r:id="rId18" xr:uid="{3BE4C573-9AF8-4E98-A3D2-ACF9F5E0DDAE}"/>
    <hyperlink ref="BM35" r:id="rId19" xr:uid="{A8820E2F-A605-4AE1-8518-1F1A3A968684}"/>
    <hyperlink ref="BM36" r:id="rId20" xr:uid="{92BCA081-C804-4605-BF12-0344A334F680}"/>
    <hyperlink ref="BM37" r:id="rId21" xr:uid="{64E05A64-3BA2-48B2-89D0-D2568612FEF8}"/>
    <hyperlink ref="BM38" r:id="rId22" xr:uid="{98E91E4B-058F-47EB-BE81-8046C72F0690}"/>
    <hyperlink ref="BM39" r:id="rId23" xr:uid="{6B4CDFE8-8410-4B37-A1CA-E43A768F032E}"/>
    <hyperlink ref="BM40" r:id="rId24" xr:uid="{30E4CF18-647A-4B8F-A10A-4D8E1183CEEC}"/>
    <hyperlink ref="BM41" r:id="rId25" xr:uid="{30F01E15-14DD-49A7-B822-069C0DDF9BA6}"/>
    <hyperlink ref="BM42" r:id="rId26" xr:uid="{C8FC706E-D461-4AAE-8B60-1DA5B0F9FF24}"/>
    <hyperlink ref="BM43" r:id="rId27" xr:uid="{8D0674E7-C3D0-40ED-AF77-D1B41DA27D63}"/>
    <hyperlink ref="BM4" r:id="rId28" xr:uid="{E185243A-216F-4C94-AF9E-6DF9FA839ED4}"/>
    <hyperlink ref="BM5" r:id="rId29" xr:uid="{AE3C3912-F2A6-49C9-906B-7125BC16C94D}"/>
    <hyperlink ref="BM6" r:id="rId30" xr:uid="{E05A3511-B113-4C9A-8B7D-3B9B1D3EED1B}"/>
    <hyperlink ref="BM7" r:id="rId31" xr:uid="{E6B98065-EC44-4340-AA6C-119AA5343F3F}"/>
    <hyperlink ref="BM14" r:id="rId32" xr:uid="{9054B7E5-70B8-4C5F-A075-125760180B3E}"/>
    <hyperlink ref="BM15" r:id="rId33" xr:uid="{81BB164D-6B63-4D30-BC78-5F8CA5D0CAF1}"/>
    <hyperlink ref="BM16" r:id="rId34" xr:uid="{2E67D216-DDBD-4A4F-A526-7E2AE08DC1A6}"/>
    <hyperlink ref="BM17" r:id="rId35" xr:uid="{F671B115-C43D-43D7-BBF4-4DBA04A5FE85}"/>
    <hyperlink ref="BM18" r:id="rId36" xr:uid="{4570EDBA-F378-4256-9E02-38175A137625}"/>
    <hyperlink ref="BM19" r:id="rId37" xr:uid="{68CC0649-F4BC-4DC4-83B4-ED615273D3D5}"/>
    <hyperlink ref="BM20" r:id="rId38" xr:uid="{505D794A-CC83-4B2B-8777-FCBE8A5476EC}"/>
    <hyperlink ref="BM21" r:id="rId39" xr:uid="{29023A2C-FDA3-449B-BF3A-96E433E43DE3}"/>
    <hyperlink ref="BM22" r:id="rId40" xr:uid="{A1157066-33DB-4E8C-8B41-EF0BDC51609C}"/>
    <hyperlink ref="BM23" r:id="rId41" xr:uid="{D4A5DB7D-B9D6-40D8-A287-194BEA40C73F}"/>
    <hyperlink ref="BM28" r:id="rId42" xr:uid="{CA5D0C0A-3656-47A7-83F3-9A0CD91C0F5A}"/>
    <hyperlink ref="BM44" r:id="rId43" xr:uid="{D51ECA4C-AF42-48AE-8B44-E3F2FEAE9C4A}"/>
    <hyperlink ref="BM45" r:id="rId44" xr:uid="{1B941FE1-DDA5-4797-86EA-245D493A0BF6}"/>
    <hyperlink ref="BM46" r:id="rId45" xr:uid="{D511E84C-1C9A-48B0-986D-04D6D7AD485F}"/>
    <hyperlink ref="BM47" r:id="rId46" xr:uid="{A724F031-02EB-4C96-B33C-02DC7ACF415F}"/>
    <hyperlink ref="BM48" r:id="rId47" xr:uid="{C98BE17B-08E0-465D-B502-EEFB11CCFD61}"/>
    <hyperlink ref="BM49" r:id="rId48" xr:uid="{51283E6E-3D70-4806-AAE8-85CF221901E2}"/>
    <hyperlink ref="BM50" r:id="rId49" xr:uid="{27A48124-4C04-47BB-B373-3DF61771E9F5}"/>
    <hyperlink ref="BM51" r:id="rId50" xr:uid="{0A96E186-6D35-4EA4-AD03-FD3AAA6552FD}"/>
    <hyperlink ref="BM52" r:id="rId51" xr:uid="{025AF5AF-BA88-43B7-8BC1-FCD69D51580F}"/>
    <hyperlink ref="BM53" r:id="rId52" xr:uid="{F9B2BCFF-142E-4A3B-AE07-FC419A5079C6}"/>
    <hyperlink ref="BM54" r:id="rId53" xr:uid="{585C2235-243B-40FF-AADB-A4C7DFA882D4}"/>
    <hyperlink ref="C26" r:id="rId54" display="https://www.nrc.govt.nz/media/ailkimnx/ourlandourairsoe2012.pdf" xr:uid="{459C6706-8131-4E48-B650-A1656AE965C2}"/>
    <hyperlink ref="C29" r:id="rId55" display="https://doi.org/10.1071/WR22030" xr:uid="{A11FE00F-2D5B-4A6C-8E19-6576A92481F0}"/>
    <hyperlink ref="C30" r:id="rId56" display="https://www.researchgate.net/profile/Shauna-Lee-Chai/publication/237627831_Establishment_of_the_Invasive_White-tailed_Deer_in_Portland_Jamaica/links/58c1afa0aca272e36dcc8655/Establishment-of-the-Invasive-White-tailed-Deer-in-Portland-Jamaica.pdf" xr:uid="{94E55C65-3763-4B4C-8AE5-B40DD0CC7760}"/>
    <hyperlink ref="BM55" r:id="rId57" xr:uid="{43045141-03C5-4C5B-82A8-5A00FA667066}"/>
  </hyperlinks>
  <pageMargins left="0.7" right="0.7" top="0.75" bottom="0.75" header="0.3" footer="0.3"/>
  <pageSetup paperSize="9" orientation="portrait" horizontalDpi="4294967292" verticalDpi="4294967292" r:id="rId58"/>
  <headerFooter alignWithMargins="0"/>
  <extLst>
    <ext xmlns:x14="http://schemas.microsoft.com/office/spreadsheetml/2009/9/main" uri="{CCE6A557-97BC-4b89-ADB6-D9C93CAAB3DF}">
      <x14:dataValidations xmlns:xm="http://schemas.microsoft.com/office/excel/2006/main" count="9">
        <x14:dataValidation type="list" errorStyle="warning" allowBlank="1" showInputMessage="1" showErrorMessage="1" error="The term entered is not in the list. _x000a_Please choose one from it or hit “Yes” to be able to add it if you’re proposing a new one. _x000a_Alert the team of updates of the new addition to update the template. " xr:uid="{00000000-0002-0000-0100-000015000000}">
          <x14:formula1>
            <xm:f>Terminology!$D$2:$D$8</xm:f>
          </x14:formula1>
          <xm:sqref>BA2:BA26 BA29:BA46</xm:sqref>
        </x14:dataValidation>
        <x14:dataValidation type="list" errorStyle="warning" allowBlank="1" showInputMessage="1" showErrorMessage="1" xr:uid="{00000000-0002-0000-0100-000014000000}">
          <x14:formula1>
            <xm:f>Terminology!$C$2:$C$9</xm:f>
          </x14:formula1>
          <xm:sqref>AF2:AF26 AF29:AF42</xm:sqref>
        </x14:dataValidation>
        <x14:dataValidation type="list" errorStyle="warning" allowBlank="1" showInputMessage="1" showErrorMessage="1" error="The term entered is not in the list. _x000a_Please choose one from it or hit “Yes” to be able to add the term if you want to propose it as a new one. _x000a_Please alert the team of updates about your new addition at updates@invacost.fr”" xr:uid="{00000000-0002-0000-0100-000016000000}">
          <x14:formula1>
            <xm:f>Terminology!$A$2:$A$24</xm:f>
          </x14:formula1>
          <xm:sqref>I2:I27 I29:I42</xm:sqref>
        </x14:dataValidation>
        <x14:dataValidation type="list" errorStyle="warning" allowBlank="1" showInputMessage="1" showErrorMessage="1" error="The term entered is not in the list. _x000a_Please choose one from it or hit “Yes” to be able to add the term knowing that you are proposing a new one. _x000a_Please alert the team of updates about your new addition at updates@invacost.f" xr:uid="{00000000-0002-0000-0100-000019000000}">
          <x14:formula1>
            <xm:f>Terminology!$E$2:$E$113</xm:f>
          </x14:formula1>
          <xm:sqref>AC13:AC26 AC30:AC54</xm:sqref>
        </x14:dataValidation>
        <x14:dataValidation type="list" errorStyle="warning" allowBlank="1" showInputMessage="1" showErrorMessage="1" xr:uid="{00000000-0002-0000-0100-00001A000000}">
          <x14:formula1>
            <xm:f>Terminology!$B$2:$B$11</xm:f>
          </x14:formula1>
          <xm:sqref>AB2:AB27 AB29:AB54 AB56:AB1048576</xm:sqref>
        </x14:dataValidation>
        <x14:dataValidation type="list" errorStyle="information" allowBlank="1" showInputMessage="1" showErrorMessage="1" error="If you need to choose two or more please separate them by a \" xr:uid="{B317161D-CD91-1A4F-BBF8-4180846D2ABB}">
          <x14:formula1>
            <xm:f>Terminology!$G$2:$G$17</xm:f>
          </x14:formula1>
          <xm:sqref>X2:X27 X29:X54 X56:X1048576</xm:sqref>
        </x14:dataValidation>
        <x14:dataValidation type="list" errorStyle="warning" allowBlank="1" showInputMessage="1" showErrorMessage="1" error="This specie name is not in the list. _x000a_Please check if the spelling is correct or hit &quot;Yes&quot; to be able to add it if it is a new addition. _x000a_Please alert the team of updates about your new addition at updates@invacost.fr”. _x000a_" xr:uid="{3D421641-3C1E-F74A-B722-0FA396394F7F}">
          <x14:formula1>
            <xm:f>TAXONOMY!$A$2:$A$959</xm:f>
          </x14:formula1>
          <xm:sqref>R2:R27 R29:R54</xm:sqref>
        </x14:dataValidation>
        <x14:dataValidation type="list" errorStyle="information" allowBlank="1" showInputMessage="1" showErrorMessage="1" error="If you need to choose two or more options, please separate them by \" xr:uid="{57B12E1D-6F50-5341-B384-DEA7C365DE5E}">
          <x14:formula1>
            <xm:f>Terminology!$G$2:$G$17</xm:f>
          </x14:formula1>
          <xm:sqref>X2:X27 X29:X54</xm:sqref>
        </x14:dataValidation>
        <x14:dataValidation type="list" errorStyle="warning" allowBlank="1" showInputMessage="1" showErrorMessage="1" error="The term entered is not in the list. _x000a_Please choose one from it or hit “Yes” to be able to add the term knowing that you are proposing a new one. _x000a_Please alert the team of updates about your new addition at updates@invacost.f" xr:uid="{9F175B13-990D-A449-9F96-1F6E919705C0}">
          <x14:formula1>
            <xm:f>Terminology!$E$2:$E$179</xm:f>
          </x14:formula1>
          <xm:sqref>AC2:AC12</xm:sqref>
        </x14:dataValidation>
      </x14:dataValidation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59"/>
  <sheetViews>
    <sheetView topLeftCell="A933" workbookViewId="0">
      <selection activeCell="B959" sqref="B959"/>
    </sheetView>
  </sheetViews>
  <sheetFormatPr defaultColWidth="8.875" defaultRowHeight="15.75" x14ac:dyDescent="0.25"/>
  <cols>
    <col min="1" max="1" width="21.875" customWidth="1"/>
    <col min="2" max="250" width="11" customWidth="1"/>
  </cols>
  <sheetData>
    <row r="1" spans="1:8" x14ac:dyDescent="0.25">
      <c r="A1" s="2" t="s">
        <v>1816</v>
      </c>
      <c r="B1" s="2" t="s">
        <v>1815</v>
      </c>
      <c r="C1" s="2" t="s">
        <v>1814</v>
      </c>
      <c r="D1" s="2" t="s">
        <v>1813</v>
      </c>
      <c r="E1" s="2" t="s">
        <v>1805</v>
      </c>
      <c r="F1" s="2" t="s">
        <v>1804</v>
      </c>
      <c r="G1" s="2" t="s">
        <v>1812</v>
      </c>
      <c r="H1" s="2" t="s">
        <v>1811</v>
      </c>
    </row>
    <row r="2" spans="1:8" x14ac:dyDescent="0.25">
      <c r="A2" t="s">
        <v>151</v>
      </c>
      <c r="B2" t="s">
        <v>841</v>
      </c>
      <c r="C2" t="s">
        <v>840</v>
      </c>
      <c r="D2" t="s">
        <v>839</v>
      </c>
      <c r="E2" t="s">
        <v>838</v>
      </c>
      <c r="F2" t="s">
        <v>837</v>
      </c>
      <c r="G2" t="s">
        <v>1810</v>
      </c>
      <c r="H2" t="s">
        <v>1817</v>
      </c>
    </row>
    <row r="3" spans="1:8" x14ac:dyDescent="0.25">
      <c r="A3" t="s">
        <v>152</v>
      </c>
      <c r="B3" t="s">
        <v>844</v>
      </c>
      <c r="C3" t="s">
        <v>843</v>
      </c>
      <c r="D3" t="s">
        <v>842</v>
      </c>
      <c r="E3" t="s">
        <v>838</v>
      </c>
      <c r="F3" t="s">
        <v>837</v>
      </c>
      <c r="G3" t="s">
        <v>1810</v>
      </c>
      <c r="H3" t="s">
        <v>1817</v>
      </c>
    </row>
    <row r="4" spans="1:8" x14ac:dyDescent="0.25">
      <c r="A4" t="s">
        <v>153</v>
      </c>
      <c r="B4" t="s">
        <v>844</v>
      </c>
      <c r="C4" t="s">
        <v>843</v>
      </c>
      <c r="D4" t="s">
        <v>842</v>
      </c>
      <c r="E4" t="s">
        <v>838</v>
      </c>
      <c r="F4" t="s">
        <v>837</v>
      </c>
      <c r="G4" t="s">
        <v>1810</v>
      </c>
      <c r="H4" t="s">
        <v>1817</v>
      </c>
    </row>
    <row r="5" spans="1:8" x14ac:dyDescent="0.25">
      <c r="A5" t="s">
        <v>2250</v>
      </c>
      <c r="B5" t="s">
        <v>844</v>
      </c>
      <c r="C5" t="s">
        <v>843</v>
      </c>
      <c r="D5" t="s">
        <v>842</v>
      </c>
      <c r="E5" t="s">
        <v>838</v>
      </c>
      <c r="F5" t="s">
        <v>837</v>
      </c>
      <c r="G5" t="s">
        <v>1810</v>
      </c>
      <c r="H5" t="s">
        <v>1817</v>
      </c>
    </row>
    <row r="6" spans="1:8" x14ac:dyDescent="0.25">
      <c r="A6" t="s">
        <v>2251</v>
      </c>
      <c r="B6" t="s">
        <v>844</v>
      </c>
      <c r="C6" t="s">
        <v>843</v>
      </c>
      <c r="D6" t="s">
        <v>842</v>
      </c>
      <c r="E6" t="s">
        <v>838</v>
      </c>
      <c r="F6" t="s">
        <v>837</v>
      </c>
      <c r="G6" t="s">
        <v>1810</v>
      </c>
      <c r="H6" t="s">
        <v>1817</v>
      </c>
    </row>
    <row r="7" spans="1:8" x14ac:dyDescent="0.25">
      <c r="A7" t="s">
        <v>154</v>
      </c>
      <c r="B7" t="s">
        <v>844</v>
      </c>
      <c r="C7" t="s">
        <v>843</v>
      </c>
      <c r="D7" t="s">
        <v>842</v>
      </c>
      <c r="E7" t="s">
        <v>838</v>
      </c>
      <c r="F7" t="s">
        <v>837</v>
      </c>
      <c r="G7" t="s">
        <v>1810</v>
      </c>
      <c r="H7" t="s">
        <v>1817</v>
      </c>
    </row>
    <row r="8" spans="1:8" x14ac:dyDescent="0.25">
      <c r="A8" t="s">
        <v>155</v>
      </c>
      <c r="B8" t="s">
        <v>844</v>
      </c>
      <c r="C8" t="s">
        <v>843</v>
      </c>
      <c r="D8" t="s">
        <v>842</v>
      </c>
      <c r="E8" t="s">
        <v>838</v>
      </c>
      <c r="F8" t="s">
        <v>837</v>
      </c>
      <c r="G8" t="s">
        <v>1810</v>
      </c>
      <c r="H8" t="s">
        <v>1817</v>
      </c>
    </row>
    <row r="9" spans="1:8" x14ac:dyDescent="0.25">
      <c r="A9" t="s">
        <v>156</v>
      </c>
      <c r="B9" t="s">
        <v>844</v>
      </c>
      <c r="C9" t="s">
        <v>843</v>
      </c>
      <c r="D9" t="s">
        <v>842</v>
      </c>
      <c r="E9" t="s">
        <v>838</v>
      </c>
      <c r="F9" t="s">
        <v>837</v>
      </c>
      <c r="G9" t="s">
        <v>1810</v>
      </c>
      <c r="H9" t="s">
        <v>1817</v>
      </c>
    </row>
    <row r="10" spans="1:8" x14ac:dyDescent="0.25">
      <c r="A10" t="s">
        <v>157</v>
      </c>
      <c r="B10" t="s">
        <v>844</v>
      </c>
      <c r="C10" t="s">
        <v>843</v>
      </c>
      <c r="D10" t="s">
        <v>842</v>
      </c>
      <c r="E10" t="s">
        <v>838</v>
      </c>
      <c r="F10" t="s">
        <v>837</v>
      </c>
      <c r="G10" t="s">
        <v>1810</v>
      </c>
      <c r="H10" t="s">
        <v>1817</v>
      </c>
    </row>
    <row r="11" spans="1:8" x14ac:dyDescent="0.25">
      <c r="A11" t="s">
        <v>2252</v>
      </c>
      <c r="B11" t="s">
        <v>844</v>
      </c>
      <c r="C11" t="s">
        <v>843</v>
      </c>
      <c r="D11" t="s">
        <v>842</v>
      </c>
      <c r="E11" t="s">
        <v>838</v>
      </c>
      <c r="F11" t="s">
        <v>837</v>
      </c>
      <c r="G11" t="s">
        <v>1810</v>
      </c>
      <c r="H11" t="s">
        <v>1817</v>
      </c>
    </row>
    <row r="12" spans="1:8" x14ac:dyDescent="0.25">
      <c r="A12" t="s">
        <v>2253</v>
      </c>
      <c r="B12" t="s">
        <v>844</v>
      </c>
      <c r="C12" t="s">
        <v>843</v>
      </c>
      <c r="D12" t="s">
        <v>842</v>
      </c>
      <c r="E12" t="s">
        <v>838</v>
      </c>
      <c r="F12" t="s">
        <v>837</v>
      </c>
      <c r="G12" t="s">
        <v>1810</v>
      </c>
      <c r="H12" t="s">
        <v>1817</v>
      </c>
    </row>
    <row r="13" spans="1:8" x14ac:dyDescent="0.25">
      <c r="A13" t="s">
        <v>158</v>
      </c>
      <c r="B13" t="s">
        <v>844</v>
      </c>
      <c r="C13" t="s">
        <v>843</v>
      </c>
      <c r="D13" t="s">
        <v>842</v>
      </c>
      <c r="E13" t="s">
        <v>838</v>
      </c>
      <c r="F13" t="s">
        <v>837</v>
      </c>
      <c r="G13" t="s">
        <v>1810</v>
      </c>
      <c r="H13" t="s">
        <v>1817</v>
      </c>
    </row>
    <row r="14" spans="1:8" x14ac:dyDescent="0.25">
      <c r="A14" t="s">
        <v>159</v>
      </c>
      <c r="B14" t="s">
        <v>845</v>
      </c>
      <c r="C14" t="s">
        <v>843</v>
      </c>
      <c r="D14" t="s">
        <v>842</v>
      </c>
      <c r="E14" t="s">
        <v>838</v>
      </c>
      <c r="F14" t="s">
        <v>837</v>
      </c>
      <c r="G14" t="s">
        <v>1810</v>
      </c>
      <c r="H14" t="s">
        <v>1817</v>
      </c>
    </row>
    <row r="15" spans="1:8" x14ac:dyDescent="0.25">
      <c r="A15" t="s">
        <v>160</v>
      </c>
      <c r="B15" t="s">
        <v>1765</v>
      </c>
      <c r="C15" t="s">
        <v>936</v>
      </c>
      <c r="D15" t="s">
        <v>867</v>
      </c>
      <c r="E15" t="s">
        <v>884</v>
      </c>
      <c r="F15" t="s">
        <v>849</v>
      </c>
      <c r="G15" t="s">
        <v>1806</v>
      </c>
    </row>
    <row r="16" spans="1:8" x14ac:dyDescent="0.25">
      <c r="A16" t="s">
        <v>161</v>
      </c>
      <c r="B16" t="s">
        <v>848</v>
      </c>
      <c r="C16" t="s">
        <v>847</v>
      </c>
      <c r="D16" t="s">
        <v>846</v>
      </c>
      <c r="E16" t="s">
        <v>838</v>
      </c>
      <c r="F16" t="s">
        <v>837</v>
      </c>
      <c r="G16" t="s">
        <v>1810</v>
      </c>
      <c r="H16" t="s">
        <v>1817</v>
      </c>
    </row>
    <row r="17" spans="1:8" x14ac:dyDescent="0.25">
      <c r="A17" t="s">
        <v>162</v>
      </c>
      <c r="B17" t="s">
        <v>853</v>
      </c>
      <c r="C17" t="s">
        <v>852</v>
      </c>
      <c r="D17" t="s">
        <v>851</v>
      </c>
      <c r="E17" t="s">
        <v>850</v>
      </c>
      <c r="F17" t="s">
        <v>849</v>
      </c>
      <c r="G17" t="s">
        <v>1806</v>
      </c>
      <c r="H17" t="s">
        <v>1817</v>
      </c>
    </row>
    <row r="18" spans="1:8" x14ac:dyDescent="0.25">
      <c r="A18" t="s">
        <v>163</v>
      </c>
      <c r="B18" t="s">
        <v>856</v>
      </c>
      <c r="C18" t="s">
        <v>855</v>
      </c>
      <c r="D18" t="s">
        <v>854</v>
      </c>
      <c r="E18" t="s">
        <v>838</v>
      </c>
      <c r="F18" t="s">
        <v>837</v>
      </c>
      <c r="G18" t="s">
        <v>1810</v>
      </c>
      <c r="H18" t="s">
        <v>1817</v>
      </c>
    </row>
    <row r="19" spans="1:8" x14ac:dyDescent="0.25">
      <c r="A19" t="s">
        <v>164</v>
      </c>
      <c r="B19" t="s">
        <v>861</v>
      </c>
      <c r="C19" t="s">
        <v>860</v>
      </c>
      <c r="D19" t="s">
        <v>859</v>
      </c>
      <c r="E19" t="s">
        <v>858</v>
      </c>
      <c r="F19" t="s">
        <v>857</v>
      </c>
      <c r="G19" t="s">
        <v>1806</v>
      </c>
      <c r="H19" t="s">
        <v>1817</v>
      </c>
    </row>
    <row r="20" spans="1:8" x14ac:dyDescent="0.25">
      <c r="A20" t="s">
        <v>165</v>
      </c>
      <c r="B20" t="s">
        <v>866</v>
      </c>
      <c r="C20" t="s">
        <v>865</v>
      </c>
      <c r="D20" t="s">
        <v>864</v>
      </c>
      <c r="E20" t="s">
        <v>863</v>
      </c>
      <c r="F20" t="s">
        <v>862</v>
      </c>
      <c r="G20" t="s">
        <v>1806</v>
      </c>
      <c r="H20" t="s">
        <v>1817</v>
      </c>
    </row>
    <row r="21" spans="1:8" x14ac:dyDescent="0.25">
      <c r="A21" t="s">
        <v>2254</v>
      </c>
      <c r="B21" t="s">
        <v>2255</v>
      </c>
      <c r="C21" t="s">
        <v>929</v>
      </c>
      <c r="D21" t="s">
        <v>928</v>
      </c>
      <c r="E21" t="s">
        <v>867</v>
      </c>
      <c r="F21" t="s">
        <v>849</v>
      </c>
      <c r="G21" t="s">
        <v>1806</v>
      </c>
      <c r="H21" t="s">
        <v>1817</v>
      </c>
    </row>
    <row r="22" spans="1:8" x14ac:dyDescent="0.25">
      <c r="A22" t="s">
        <v>166</v>
      </c>
      <c r="B22" t="s">
        <v>870</v>
      </c>
      <c r="C22" t="s">
        <v>869</v>
      </c>
      <c r="D22" t="s">
        <v>868</v>
      </c>
      <c r="E22" t="s">
        <v>867</v>
      </c>
      <c r="F22" t="s">
        <v>849</v>
      </c>
      <c r="G22" t="s">
        <v>1806</v>
      </c>
      <c r="H22" t="s">
        <v>1817</v>
      </c>
    </row>
    <row r="23" spans="1:8" x14ac:dyDescent="0.25">
      <c r="A23" t="s">
        <v>167</v>
      </c>
      <c r="B23" t="s">
        <v>870</v>
      </c>
      <c r="C23" t="s">
        <v>869</v>
      </c>
      <c r="D23" t="s">
        <v>868</v>
      </c>
      <c r="E23" t="s">
        <v>867</v>
      </c>
      <c r="F23" t="s">
        <v>849</v>
      </c>
      <c r="G23" t="s">
        <v>1806</v>
      </c>
      <c r="H23" t="s">
        <v>1817</v>
      </c>
    </row>
    <row r="24" spans="1:8" x14ac:dyDescent="0.25">
      <c r="A24" t="s">
        <v>168</v>
      </c>
      <c r="B24" t="s">
        <v>873</v>
      </c>
      <c r="C24" t="s">
        <v>872</v>
      </c>
      <c r="D24" t="s">
        <v>871</v>
      </c>
      <c r="E24" t="s">
        <v>867</v>
      </c>
      <c r="F24" t="s">
        <v>849</v>
      </c>
      <c r="G24" t="s">
        <v>1806</v>
      </c>
      <c r="H24" t="s">
        <v>1817</v>
      </c>
    </row>
    <row r="25" spans="1:8" x14ac:dyDescent="0.25">
      <c r="A25" t="s">
        <v>169</v>
      </c>
      <c r="B25" t="s">
        <v>873</v>
      </c>
      <c r="C25" t="s">
        <v>872</v>
      </c>
      <c r="D25" t="s">
        <v>871</v>
      </c>
      <c r="E25" t="s">
        <v>867</v>
      </c>
      <c r="F25" t="s">
        <v>849</v>
      </c>
      <c r="G25" t="s">
        <v>1806</v>
      </c>
      <c r="H25" t="s">
        <v>1817</v>
      </c>
    </row>
    <row r="26" spans="1:8" x14ac:dyDescent="0.25">
      <c r="A26" t="s">
        <v>2256</v>
      </c>
      <c r="B26" t="s">
        <v>873</v>
      </c>
      <c r="C26" t="s">
        <v>872</v>
      </c>
      <c r="D26" t="s">
        <v>871</v>
      </c>
      <c r="E26" t="s">
        <v>867</v>
      </c>
      <c r="F26" t="s">
        <v>849</v>
      </c>
      <c r="G26" t="s">
        <v>1806</v>
      </c>
      <c r="H26" t="s">
        <v>1817</v>
      </c>
    </row>
    <row r="27" spans="1:8" x14ac:dyDescent="0.25">
      <c r="A27" t="s">
        <v>170</v>
      </c>
      <c r="B27" t="s">
        <v>873</v>
      </c>
      <c r="C27" t="s">
        <v>872</v>
      </c>
      <c r="D27" t="s">
        <v>871</v>
      </c>
      <c r="E27" t="s">
        <v>867</v>
      </c>
      <c r="F27" t="s">
        <v>849</v>
      </c>
      <c r="G27" t="s">
        <v>1806</v>
      </c>
      <c r="H27" t="s">
        <v>1817</v>
      </c>
    </row>
    <row r="28" spans="1:8" x14ac:dyDescent="0.25">
      <c r="A28" t="s">
        <v>171</v>
      </c>
      <c r="B28" t="s">
        <v>878</v>
      </c>
      <c r="C28" t="s">
        <v>877</v>
      </c>
      <c r="D28" t="s">
        <v>876</v>
      </c>
      <c r="E28" t="s">
        <v>875</v>
      </c>
      <c r="F28" t="s">
        <v>874</v>
      </c>
      <c r="G28" t="s">
        <v>1807</v>
      </c>
      <c r="H28" t="s">
        <v>1817</v>
      </c>
    </row>
    <row r="29" spans="1:8" x14ac:dyDescent="0.25">
      <c r="A29" t="s">
        <v>172</v>
      </c>
      <c r="B29" t="s">
        <v>879</v>
      </c>
      <c r="C29" t="s">
        <v>843</v>
      </c>
      <c r="D29" t="s">
        <v>842</v>
      </c>
      <c r="E29" t="s">
        <v>838</v>
      </c>
      <c r="F29" t="s">
        <v>837</v>
      </c>
      <c r="G29" t="s">
        <v>1810</v>
      </c>
      <c r="H29" t="s">
        <v>1817</v>
      </c>
    </row>
    <row r="30" spans="1:8" x14ac:dyDescent="0.25">
      <c r="A30" t="s">
        <v>173</v>
      </c>
      <c r="B30" t="s">
        <v>879</v>
      </c>
      <c r="C30" t="s">
        <v>843</v>
      </c>
      <c r="D30" t="s">
        <v>842</v>
      </c>
      <c r="E30" t="s">
        <v>838</v>
      </c>
      <c r="F30" t="s">
        <v>837</v>
      </c>
      <c r="G30" t="s">
        <v>1810</v>
      </c>
      <c r="H30" t="s">
        <v>1817</v>
      </c>
    </row>
    <row r="31" spans="1:8" x14ac:dyDescent="0.25">
      <c r="A31" t="s">
        <v>174</v>
      </c>
      <c r="B31" t="s">
        <v>883</v>
      </c>
      <c r="C31" t="s">
        <v>882</v>
      </c>
      <c r="D31" t="s">
        <v>881</v>
      </c>
      <c r="E31" t="s">
        <v>880</v>
      </c>
      <c r="F31" t="s">
        <v>837</v>
      </c>
      <c r="G31" t="s">
        <v>1810</v>
      </c>
      <c r="H31" t="s">
        <v>1817</v>
      </c>
    </row>
    <row r="32" spans="1:8" x14ac:dyDescent="0.25">
      <c r="A32" t="s">
        <v>175</v>
      </c>
      <c r="B32" t="s">
        <v>883</v>
      </c>
      <c r="C32" t="s">
        <v>882</v>
      </c>
      <c r="D32" t="s">
        <v>881</v>
      </c>
      <c r="E32" t="s">
        <v>880</v>
      </c>
      <c r="F32" t="s">
        <v>837</v>
      </c>
      <c r="G32" t="s">
        <v>1810</v>
      </c>
      <c r="H32" t="s">
        <v>1817</v>
      </c>
    </row>
    <row r="33" spans="1:8" x14ac:dyDescent="0.25">
      <c r="A33" t="s">
        <v>176</v>
      </c>
      <c r="B33" t="s">
        <v>883</v>
      </c>
      <c r="C33" t="s">
        <v>882</v>
      </c>
      <c r="D33" t="s">
        <v>881</v>
      </c>
      <c r="E33" t="s">
        <v>880</v>
      </c>
      <c r="F33" t="s">
        <v>837</v>
      </c>
      <c r="G33" t="s">
        <v>1810</v>
      </c>
      <c r="H33" t="s">
        <v>1817</v>
      </c>
    </row>
    <row r="34" spans="1:8" x14ac:dyDescent="0.25">
      <c r="A34" t="s">
        <v>2257</v>
      </c>
      <c r="B34" t="s">
        <v>2258</v>
      </c>
      <c r="C34" t="s">
        <v>908</v>
      </c>
      <c r="D34" t="s">
        <v>907</v>
      </c>
      <c r="E34" t="s">
        <v>838</v>
      </c>
      <c r="F34" t="s">
        <v>837</v>
      </c>
      <c r="G34" t="s">
        <v>1810</v>
      </c>
      <c r="H34" t="s">
        <v>1817</v>
      </c>
    </row>
    <row r="35" spans="1:8" x14ac:dyDescent="0.25">
      <c r="A35" t="s">
        <v>177</v>
      </c>
      <c r="B35" t="s">
        <v>886</v>
      </c>
      <c r="C35" t="s">
        <v>885</v>
      </c>
      <c r="D35" t="s">
        <v>884</v>
      </c>
      <c r="E35" t="s">
        <v>867</v>
      </c>
      <c r="F35" t="s">
        <v>849</v>
      </c>
      <c r="G35" t="s">
        <v>1806</v>
      </c>
      <c r="H35" t="s">
        <v>1817</v>
      </c>
    </row>
    <row r="36" spans="1:8" x14ac:dyDescent="0.25">
      <c r="A36" t="s">
        <v>178</v>
      </c>
      <c r="B36" t="s">
        <v>888</v>
      </c>
      <c r="C36" t="s">
        <v>887</v>
      </c>
      <c r="D36" t="s">
        <v>854</v>
      </c>
      <c r="E36" t="s">
        <v>838</v>
      </c>
      <c r="F36" t="s">
        <v>837</v>
      </c>
      <c r="G36" t="s">
        <v>1810</v>
      </c>
      <c r="H36" t="s">
        <v>1817</v>
      </c>
    </row>
    <row r="37" spans="1:8" x14ac:dyDescent="0.25">
      <c r="A37" t="s">
        <v>179</v>
      </c>
      <c r="B37" t="s">
        <v>892</v>
      </c>
      <c r="C37" t="s">
        <v>891</v>
      </c>
      <c r="D37" t="s">
        <v>890</v>
      </c>
      <c r="E37" t="s">
        <v>889</v>
      </c>
      <c r="F37" t="s">
        <v>862</v>
      </c>
      <c r="G37" t="s">
        <v>1806</v>
      </c>
      <c r="H37" t="s">
        <v>1817</v>
      </c>
    </row>
    <row r="38" spans="1:8" x14ac:dyDescent="0.25">
      <c r="A38" t="s">
        <v>180</v>
      </c>
      <c r="B38" t="s">
        <v>894</v>
      </c>
      <c r="C38" t="s">
        <v>893</v>
      </c>
      <c r="D38" t="s">
        <v>868</v>
      </c>
      <c r="E38" t="s">
        <v>867</v>
      </c>
      <c r="F38" t="s">
        <v>849</v>
      </c>
      <c r="G38" t="s">
        <v>1806</v>
      </c>
      <c r="H38" t="s">
        <v>1817</v>
      </c>
    </row>
    <row r="39" spans="1:8" x14ac:dyDescent="0.25">
      <c r="A39" t="s">
        <v>2259</v>
      </c>
      <c r="B39" t="s">
        <v>2260</v>
      </c>
      <c r="C39" t="s">
        <v>893</v>
      </c>
      <c r="D39" t="s">
        <v>868</v>
      </c>
      <c r="E39" t="s">
        <v>867</v>
      </c>
      <c r="F39" t="s">
        <v>849</v>
      </c>
      <c r="G39" t="s">
        <v>1806</v>
      </c>
      <c r="H39" t="s">
        <v>1817</v>
      </c>
    </row>
    <row r="40" spans="1:8" x14ac:dyDescent="0.25">
      <c r="A40" t="s">
        <v>2261</v>
      </c>
      <c r="B40" t="s">
        <v>2262</v>
      </c>
      <c r="C40" t="s">
        <v>1854</v>
      </c>
      <c r="D40" t="s">
        <v>1855</v>
      </c>
      <c r="E40" t="s">
        <v>838</v>
      </c>
      <c r="F40" t="s">
        <v>837</v>
      </c>
      <c r="G40" t="s">
        <v>1810</v>
      </c>
      <c r="H40" t="s">
        <v>1817</v>
      </c>
    </row>
    <row r="41" spans="1:8" x14ac:dyDescent="0.25">
      <c r="A41" t="s">
        <v>181</v>
      </c>
      <c r="B41" t="s">
        <v>896</v>
      </c>
      <c r="C41" t="s">
        <v>895</v>
      </c>
      <c r="D41" t="s">
        <v>881</v>
      </c>
      <c r="E41" t="s">
        <v>880</v>
      </c>
      <c r="F41" t="s">
        <v>837</v>
      </c>
      <c r="G41" t="s">
        <v>1810</v>
      </c>
      <c r="H41" t="s">
        <v>1817</v>
      </c>
    </row>
    <row r="42" spans="1:8" x14ac:dyDescent="0.25">
      <c r="A42" t="s">
        <v>182</v>
      </c>
      <c r="B42" t="s">
        <v>896</v>
      </c>
      <c r="C42" t="s">
        <v>895</v>
      </c>
      <c r="D42" t="s">
        <v>881</v>
      </c>
      <c r="E42" t="s">
        <v>880</v>
      </c>
      <c r="F42" t="s">
        <v>837</v>
      </c>
      <c r="G42" t="s">
        <v>1810</v>
      </c>
      <c r="H42" t="s">
        <v>1817</v>
      </c>
    </row>
    <row r="43" spans="1:8" x14ac:dyDescent="0.25">
      <c r="A43" t="s">
        <v>183</v>
      </c>
      <c r="B43" t="s">
        <v>896</v>
      </c>
      <c r="C43" t="s">
        <v>895</v>
      </c>
      <c r="D43" t="s">
        <v>881</v>
      </c>
      <c r="E43" t="s">
        <v>880</v>
      </c>
      <c r="F43" t="s">
        <v>837</v>
      </c>
      <c r="G43" t="s">
        <v>1810</v>
      </c>
      <c r="H43" t="s">
        <v>1817</v>
      </c>
    </row>
    <row r="44" spans="1:8" x14ac:dyDescent="0.25">
      <c r="A44" t="s">
        <v>184</v>
      </c>
      <c r="B44" t="s">
        <v>896</v>
      </c>
      <c r="C44" t="s">
        <v>895</v>
      </c>
      <c r="D44" t="s">
        <v>881</v>
      </c>
      <c r="E44" t="s">
        <v>880</v>
      </c>
      <c r="F44" t="s">
        <v>837</v>
      </c>
      <c r="G44" t="s">
        <v>1810</v>
      </c>
      <c r="H44" t="s">
        <v>1817</v>
      </c>
    </row>
    <row r="45" spans="1:8" x14ac:dyDescent="0.25">
      <c r="A45" t="s">
        <v>185</v>
      </c>
      <c r="B45" t="s">
        <v>899</v>
      </c>
      <c r="C45" t="s">
        <v>898</v>
      </c>
      <c r="D45" t="s">
        <v>897</v>
      </c>
      <c r="E45" t="s">
        <v>863</v>
      </c>
      <c r="F45" t="s">
        <v>862</v>
      </c>
      <c r="G45" t="s">
        <v>1806</v>
      </c>
      <c r="H45" t="s">
        <v>1817</v>
      </c>
    </row>
    <row r="46" spans="1:8" x14ac:dyDescent="0.25">
      <c r="A46" t="s">
        <v>186</v>
      </c>
      <c r="B46" t="s">
        <v>902</v>
      </c>
      <c r="C46" t="s">
        <v>901</v>
      </c>
      <c r="D46" t="s">
        <v>900</v>
      </c>
      <c r="E46" t="s">
        <v>838</v>
      </c>
      <c r="F46" t="s">
        <v>837</v>
      </c>
      <c r="G46" t="s">
        <v>1810</v>
      </c>
      <c r="H46" t="s">
        <v>1817</v>
      </c>
    </row>
    <row r="47" spans="1:8" x14ac:dyDescent="0.25">
      <c r="A47" t="s">
        <v>187</v>
      </c>
      <c r="B47" t="s">
        <v>904</v>
      </c>
      <c r="C47" t="s">
        <v>903</v>
      </c>
      <c r="D47" t="s">
        <v>864</v>
      </c>
      <c r="E47" t="s">
        <v>863</v>
      </c>
      <c r="F47" t="s">
        <v>862</v>
      </c>
      <c r="G47" t="s">
        <v>1806</v>
      </c>
      <c r="H47" t="s">
        <v>1817</v>
      </c>
    </row>
    <row r="48" spans="1:8" x14ac:dyDescent="0.25">
      <c r="A48" s="5" t="s">
        <v>2785</v>
      </c>
      <c r="B48" t="s">
        <v>2786</v>
      </c>
      <c r="C48" s="53" t="s">
        <v>901</v>
      </c>
      <c r="D48" t="s">
        <v>900</v>
      </c>
      <c r="E48" t="s">
        <v>838</v>
      </c>
      <c r="F48" t="s">
        <v>837</v>
      </c>
      <c r="G48" t="s">
        <v>1810</v>
      </c>
    </row>
    <row r="49" spans="1:8" x14ac:dyDescent="0.25">
      <c r="A49" t="s">
        <v>188</v>
      </c>
      <c r="B49" t="s">
        <v>906</v>
      </c>
      <c r="C49" t="s">
        <v>905</v>
      </c>
      <c r="D49" t="s">
        <v>871</v>
      </c>
      <c r="E49" t="s">
        <v>867</v>
      </c>
      <c r="F49" t="s">
        <v>849</v>
      </c>
      <c r="G49" t="s">
        <v>1806</v>
      </c>
      <c r="H49" t="s">
        <v>1817</v>
      </c>
    </row>
    <row r="50" spans="1:8" x14ac:dyDescent="0.25">
      <c r="A50" t="s">
        <v>189</v>
      </c>
      <c r="B50" t="s">
        <v>909</v>
      </c>
      <c r="C50" t="s">
        <v>908</v>
      </c>
      <c r="D50" t="s">
        <v>907</v>
      </c>
      <c r="E50" t="s">
        <v>838</v>
      </c>
      <c r="F50" t="s">
        <v>837</v>
      </c>
      <c r="G50" t="s">
        <v>1810</v>
      </c>
      <c r="H50" t="s">
        <v>1817</v>
      </c>
    </row>
    <row r="51" spans="1:8" x14ac:dyDescent="0.25">
      <c r="A51" t="s">
        <v>190</v>
      </c>
      <c r="B51" t="s">
        <v>909</v>
      </c>
      <c r="C51" t="s">
        <v>908</v>
      </c>
      <c r="D51" t="s">
        <v>907</v>
      </c>
      <c r="E51" t="s">
        <v>838</v>
      </c>
      <c r="F51" t="s">
        <v>837</v>
      </c>
      <c r="G51" t="s">
        <v>1810</v>
      </c>
      <c r="H51" t="s">
        <v>1817</v>
      </c>
    </row>
    <row r="52" spans="1:8" x14ac:dyDescent="0.25">
      <c r="A52" t="s">
        <v>2263</v>
      </c>
      <c r="B52" t="s">
        <v>909</v>
      </c>
      <c r="C52" t="s">
        <v>908</v>
      </c>
      <c r="D52" t="s">
        <v>907</v>
      </c>
      <c r="E52" t="s">
        <v>838</v>
      </c>
      <c r="F52" t="s">
        <v>837</v>
      </c>
      <c r="G52" t="s">
        <v>1810</v>
      </c>
      <c r="H52" t="s">
        <v>1817</v>
      </c>
    </row>
    <row r="53" spans="1:8" x14ac:dyDescent="0.25">
      <c r="A53" t="s">
        <v>191</v>
      </c>
      <c r="B53" t="s">
        <v>912</v>
      </c>
      <c r="C53" t="s">
        <v>911</v>
      </c>
      <c r="D53" t="s">
        <v>910</v>
      </c>
      <c r="E53" t="s">
        <v>889</v>
      </c>
      <c r="F53" t="s">
        <v>862</v>
      </c>
      <c r="G53" t="s">
        <v>1806</v>
      </c>
      <c r="H53" t="s">
        <v>1817</v>
      </c>
    </row>
    <row r="54" spans="1:8" x14ac:dyDescent="0.25">
      <c r="A54" t="s">
        <v>1837</v>
      </c>
      <c r="B54" t="s">
        <v>1838</v>
      </c>
      <c r="C54" t="s">
        <v>1003</v>
      </c>
      <c r="D54" t="s">
        <v>1002</v>
      </c>
      <c r="E54" t="s">
        <v>968</v>
      </c>
      <c r="F54" t="s">
        <v>862</v>
      </c>
      <c r="G54" t="s">
        <v>1806</v>
      </c>
      <c r="H54" t="s">
        <v>1817</v>
      </c>
    </row>
    <row r="55" spans="1:8" x14ac:dyDescent="0.25">
      <c r="A55" t="s">
        <v>192</v>
      </c>
      <c r="B55" t="s">
        <v>914</v>
      </c>
      <c r="C55" t="s">
        <v>913</v>
      </c>
      <c r="D55" t="s">
        <v>871</v>
      </c>
      <c r="E55" t="s">
        <v>867</v>
      </c>
      <c r="F55" t="s">
        <v>849</v>
      </c>
      <c r="G55" t="s">
        <v>1806</v>
      </c>
      <c r="H55" t="s">
        <v>1817</v>
      </c>
    </row>
    <row r="56" spans="1:8" x14ac:dyDescent="0.25">
      <c r="A56" t="s">
        <v>193</v>
      </c>
      <c r="B56" t="s">
        <v>914</v>
      </c>
      <c r="C56" t="s">
        <v>913</v>
      </c>
      <c r="D56" t="s">
        <v>871</v>
      </c>
      <c r="E56" t="s">
        <v>867</v>
      </c>
      <c r="F56" t="s">
        <v>849</v>
      </c>
      <c r="G56" t="s">
        <v>1806</v>
      </c>
      <c r="H56" t="s">
        <v>1817</v>
      </c>
    </row>
    <row r="57" spans="1:8" x14ac:dyDescent="0.25">
      <c r="A57" t="s">
        <v>194</v>
      </c>
      <c r="B57" t="s">
        <v>917</v>
      </c>
      <c r="C57" t="s">
        <v>916</v>
      </c>
      <c r="D57" t="s">
        <v>915</v>
      </c>
      <c r="E57" t="s">
        <v>880</v>
      </c>
      <c r="F57" t="s">
        <v>837</v>
      </c>
      <c r="G57" t="s">
        <v>1810</v>
      </c>
      <c r="H57" t="s">
        <v>1817</v>
      </c>
    </row>
    <row r="58" spans="1:8" x14ac:dyDescent="0.25">
      <c r="A58" t="s">
        <v>195</v>
      </c>
      <c r="B58" t="s">
        <v>922</v>
      </c>
      <c r="C58" t="s">
        <v>921</v>
      </c>
      <c r="D58" t="s">
        <v>920</v>
      </c>
      <c r="E58" t="s">
        <v>919</v>
      </c>
      <c r="F58" t="s">
        <v>918</v>
      </c>
      <c r="G58" t="s">
        <v>1806</v>
      </c>
      <c r="H58" t="s">
        <v>1817</v>
      </c>
    </row>
    <row r="59" spans="1:8" x14ac:dyDescent="0.25">
      <c r="A59" t="s">
        <v>2264</v>
      </c>
      <c r="B59" t="s">
        <v>2265</v>
      </c>
      <c r="C59" t="s">
        <v>2266</v>
      </c>
      <c r="D59" t="s">
        <v>1178</v>
      </c>
      <c r="E59" t="s">
        <v>919</v>
      </c>
      <c r="F59" t="s">
        <v>918</v>
      </c>
      <c r="G59" t="s">
        <v>1806</v>
      </c>
      <c r="H59" t="s">
        <v>1817</v>
      </c>
    </row>
    <row r="60" spans="1:8" x14ac:dyDescent="0.25">
      <c r="A60" t="s">
        <v>196</v>
      </c>
      <c r="B60" t="s">
        <v>926</v>
      </c>
      <c r="C60" t="s">
        <v>925</v>
      </c>
      <c r="D60" t="s">
        <v>924</v>
      </c>
      <c r="E60" t="s">
        <v>923</v>
      </c>
      <c r="F60" t="s">
        <v>862</v>
      </c>
      <c r="G60" t="s">
        <v>1806</v>
      </c>
      <c r="H60" t="s">
        <v>1817</v>
      </c>
    </row>
    <row r="61" spans="1:8" x14ac:dyDescent="0.25">
      <c r="A61" t="s">
        <v>197</v>
      </c>
      <c r="B61" t="s">
        <v>926</v>
      </c>
      <c r="C61" t="s">
        <v>925</v>
      </c>
      <c r="D61" t="s">
        <v>924</v>
      </c>
      <c r="E61" t="s">
        <v>923</v>
      </c>
      <c r="F61" t="s">
        <v>862</v>
      </c>
      <c r="G61" t="s">
        <v>1806</v>
      </c>
      <c r="H61" t="s">
        <v>1817</v>
      </c>
    </row>
    <row r="62" spans="1:8" x14ac:dyDescent="0.25">
      <c r="A62" t="s">
        <v>198</v>
      </c>
      <c r="B62" t="s">
        <v>927</v>
      </c>
      <c r="C62" t="s">
        <v>872</v>
      </c>
      <c r="D62" t="s">
        <v>871</v>
      </c>
      <c r="E62" t="s">
        <v>867</v>
      </c>
      <c r="F62" t="s">
        <v>849</v>
      </c>
      <c r="G62" t="s">
        <v>1806</v>
      </c>
      <c r="H62" t="s">
        <v>1817</v>
      </c>
    </row>
    <row r="63" spans="1:8" x14ac:dyDescent="0.25">
      <c r="A63" t="s">
        <v>199</v>
      </c>
      <c r="B63" t="s">
        <v>930</v>
      </c>
      <c r="C63" t="s">
        <v>929</v>
      </c>
      <c r="D63" t="s">
        <v>928</v>
      </c>
      <c r="E63" t="s">
        <v>867</v>
      </c>
      <c r="F63" t="s">
        <v>849</v>
      </c>
      <c r="G63" t="s">
        <v>1806</v>
      </c>
      <c r="H63" t="s">
        <v>1817</v>
      </c>
    </row>
    <row r="64" spans="1:8" x14ac:dyDescent="0.25">
      <c r="A64" t="s">
        <v>200</v>
      </c>
      <c r="B64" t="s">
        <v>932</v>
      </c>
      <c r="C64" t="s">
        <v>931</v>
      </c>
      <c r="D64" t="s">
        <v>884</v>
      </c>
      <c r="E64" t="s">
        <v>867</v>
      </c>
      <c r="F64" t="s">
        <v>849</v>
      </c>
      <c r="G64" t="s">
        <v>1806</v>
      </c>
      <c r="H64" t="s">
        <v>1817</v>
      </c>
    </row>
    <row r="65" spans="1:8" x14ac:dyDescent="0.25">
      <c r="A65" t="s">
        <v>201</v>
      </c>
      <c r="B65" t="s">
        <v>932</v>
      </c>
      <c r="C65" t="s">
        <v>931</v>
      </c>
      <c r="D65" t="s">
        <v>884</v>
      </c>
      <c r="E65" t="s">
        <v>867</v>
      </c>
      <c r="F65" t="s">
        <v>849</v>
      </c>
      <c r="G65" t="s">
        <v>1806</v>
      </c>
      <c r="H65" t="s">
        <v>1817</v>
      </c>
    </row>
    <row r="66" spans="1:8" x14ac:dyDescent="0.25">
      <c r="A66" t="s">
        <v>202</v>
      </c>
      <c r="B66" t="s">
        <v>934</v>
      </c>
      <c r="C66" t="s">
        <v>933</v>
      </c>
      <c r="D66" t="s">
        <v>900</v>
      </c>
      <c r="E66" t="s">
        <v>838</v>
      </c>
      <c r="F66" t="s">
        <v>837</v>
      </c>
      <c r="G66" t="s">
        <v>1810</v>
      </c>
      <c r="H66" t="s">
        <v>1817</v>
      </c>
    </row>
    <row r="67" spans="1:8" x14ac:dyDescent="0.25">
      <c r="A67" t="s">
        <v>203</v>
      </c>
      <c r="B67" t="s">
        <v>935</v>
      </c>
      <c r="C67" t="s">
        <v>908</v>
      </c>
      <c r="D67" t="s">
        <v>907</v>
      </c>
      <c r="E67" t="s">
        <v>838</v>
      </c>
      <c r="F67" t="s">
        <v>837</v>
      </c>
      <c r="G67" t="s">
        <v>1810</v>
      </c>
      <c r="H67" t="s">
        <v>1817</v>
      </c>
    </row>
    <row r="68" spans="1:8" x14ac:dyDescent="0.25">
      <c r="A68" t="s">
        <v>204</v>
      </c>
      <c r="B68" t="s">
        <v>937</v>
      </c>
      <c r="C68" t="s">
        <v>936</v>
      </c>
      <c r="D68" t="s">
        <v>884</v>
      </c>
      <c r="E68" t="s">
        <v>867</v>
      </c>
      <c r="F68" t="s">
        <v>849</v>
      </c>
      <c r="G68" t="s">
        <v>1806</v>
      </c>
      <c r="H68" t="s">
        <v>1819</v>
      </c>
    </row>
    <row r="69" spans="1:8" x14ac:dyDescent="0.25">
      <c r="A69" t="s">
        <v>205</v>
      </c>
      <c r="B69" t="s">
        <v>942</v>
      </c>
      <c r="C69" t="s">
        <v>941</v>
      </c>
      <c r="D69" t="s">
        <v>940</v>
      </c>
      <c r="E69" t="s">
        <v>939</v>
      </c>
      <c r="F69" t="s">
        <v>938</v>
      </c>
      <c r="G69" t="s">
        <v>1808</v>
      </c>
      <c r="H69" t="s">
        <v>1817</v>
      </c>
    </row>
    <row r="70" spans="1:8" x14ac:dyDescent="0.25">
      <c r="A70" t="s">
        <v>206</v>
      </c>
      <c r="B70" t="s">
        <v>945</v>
      </c>
      <c r="C70" t="s">
        <v>944</v>
      </c>
      <c r="D70" t="s">
        <v>943</v>
      </c>
      <c r="E70" t="s">
        <v>919</v>
      </c>
      <c r="F70" t="s">
        <v>918</v>
      </c>
      <c r="G70" t="s">
        <v>1806</v>
      </c>
      <c r="H70" t="s">
        <v>1817</v>
      </c>
    </row>
    <row r="71" spans="1:8" x14ac:dyDescent="0.25">
      <c r="A71" t="s">
        <v>207</v>
      </c>
      <c r="B71" t="s">
        <v>947</v>
      </c>
      <c r="C71" t="s">
        <v>946</v>
      </c>
      <c r="D71" t="s">
        <v>868</v>
      </c>
      <c r="E71" t="s">
        <v>867</v>
      </c>
      <c r="F71" t="s">
        <v>849</v>
      </c>
      <c r="G71" t="s">
        <v>1806</v>
      </c>
      <c r="H71" t="s">
        <v>1817</v>
      </c>
    </row>
    <row r="72" spans="1:8" x14ac:dyDescent="0.25">
      <c r="A72" t="s">
        <v>208</v>
      </c>
      <c r="B72" t="s">
        <v>949</v>
      </c>
      <c r="C72" t="s">
        <v>948</v>
      </c>
      <c r="D72" t="s">
        <v>928</v>
      </c>
      <c r="E72" t="s">
        <v>867</v>
      </c>
      <c r="F72" t="s">
        <v>849</v>
      </c>
      <c r="G72" t="s">
        <v>1806</v>
      </c>
      <c r="H72" t="s">
        <v>1817</v>
      </c>
    </row>
    <row r="73" spans="1:8" x14ac:dyDescent="0.25">
      <c r="A73" t="s">
        <v>209</v>
      </c>
      <c r="B73" t="s">
        <v>952</v>
      </c>
      <c r="C73" t="s">
        <v>951</v>
      </c>
      <c r="D73" t="s">
        <v>950</v>
      </c>
      <c r="E73" t="s">
        <v>863</v>
      </c>
      <c r="F73" t="s">
        <v>862</v>
      </c>
      <c r="G73" t="s">
        <v>1806</v>
      </c>
      <c r="H73" t="s">
        <v>1817</v>
      </c>
    </row>
    <row r="74" spans="1:8" x14ac:dyDescent="0.25">
      <c r="A74" t="s">
        <v>210</v>
      </c>
      <c r="B74" t="s">
        <v>955</v>
      </c>
      <c r="C74" t="s">
        <v>954</v>
      </c>
      <c r="D74" t="s">
        <v>953</v>
      </c>
      <c r="E74" t="s">
        <v>838</v>
      </c>
      <c r="F74" t="s">
        <v>837</v>
      </c>
      <c r="G74" t="s">
        <v>1810</v>
      </c>
      <c r="H74" t="s">
        <v>1817</v>
      </c>
    </row>
    <row r="75" spans="1:8" x14ac:dyDescent="0.25">
      <c r="A75" t="s">
        <v>211</v>
      </c>
      <c r="B75" t="s">
        <v>956</v>
      </c>
      <c r="C75" t="s">
        <v>908</v>
      </c>
      <c r="D75" t="s">
        <v>907</v>
      </c>
      <c r="E75" t="s">
        <v>838</v>
      </c>
      <c r="F75" t="s">
        <v>837</v>
      </c>
      <c r="G75" t="s">
        <v>1810</v>
      </c>
      <c r="H75" t="s">
        <v>1817</v>
      </c>
    </row>
    <row r="76" spans="1:8" x14ac:dyDescent="0.25">
      <c r="A76" t="s">
        <v>2267</v>
      </c>
      <c r="B76" t="s">
        <v>2268</v>
      </c>
      <c r="C76" t="s">
        <v>2269</v>
      </c>
      <c r="D76" t="s">
        <v>1609</v>
      </c>
      <c r="E76" t="s">
        <v>838</v>
      </c>
      <c r="F76" t="s">
        <v>837</v>
      </c>
      <c r="G76" t="s">
        <v>1810</v>
      </c>
      <c r="H76" t="s">
        <v>1817</v>
      </c>
    </row>
    <row r="77" spans="1:8" x14ac:dyDescent="0.25">
      <c r="A77" t="s">
        <v>2270</v>
      </c>
      <c r="B77" t="s">
        <v>958</v>
      </c>
      <c r="C77" t="s">
        <v>957</v>
      </c>
      <c r="D77" t="s">
        <v>859</v>
      </c>
      <c r="E77" t="s">
        <v>858</v>
      </c>
      <c r="F77" t="s">
        <v>857</v>
      </c>
      <c r="G77" t="s">
        <v>1806</v>
      </c>
      <c r="H77" t="s">
        <v>1817</v>
      </c>
    </row>
    <row r="78" spans="1:8" x14ac:dyDescent="0.25">
      <c r="A78" t="s">
        <v>212</v>
      </c>
      <c r="B78" t="s">
        <v>958</v>
      </c>
      <c r="C78" t="s">
        <v>957</v>
      </c>
      <c r="D78" t="s">
        <v>859</v>
      </c>
      <c r="E78" t="s">
        <v>858</v>
      </c>
      <c r="F78" t="s">
        <v>857</v>
      </c>
      <c r="G78" t="s">
        <v>1806</v>
      </c>
      <c r="H78" t="s">
        <v>1817</v>
      </c>
    </row>
    <row r="79" spans="1:8" x14ac:dyDescent="0.25">
      <c r="A79" t="s">
        <v>213</v>
      </c>
      <c r="B79" t="s">
        <v>961</v>
      </c>
      <c r="C79" t="s">
        <v>960</v>
      </c>
      <c r="D79" t="s">
        <v>959</v>
      </c>
      <c r="E79" t="s">
        <v>838</v>
      </c>
      <c r="F79" t="s">
        <v>837</v>
      </c>
      <c r="G79" t="s">
        <v>1810</v>
      </c>
      <c r="H79" t="s">
        <v>1817</v>
      </c>
    </row>
    <row r="80" spans="1:8" x14ac:dyDescent="0.25">
      <c r="A80" t="s">
        <v>214</v>
      </c>
      <c r="B80" t="s">
        <v>961</v>
      </c>
      <c r="C80" t="s">
        <v>960</v>
      </c>
      <c r="D80" t="s">
        <v>959</v>
      </c>
      <c r="E80" t="s">
        <v>838</v>
      </c>
      <c r="F80" t="s">
        <v>837</v>
      </c>
      <c r="G80" t="s">
        <v>1810</v>
      </c>
      <c r="H80" t="s">
        <v>1817</v>
      </c>
    </row>
    <row r="81" spans="1:8" x14ac:dyDescent="0.25">
      <c r="A81" t="s">
        <v>2271</v>
      </c>
      <c r="B81" t="s">
        <v>2272</v>
      </c>
      <c r="C81" t="s">
        <v>2273</v>
      </c>
      <c r="D81" t="s">
        <v>2274</v>
      </c>
      <c r="E81" t="s">
        <v>1022</v>
      </c>
      <c r="F81" t="s">
        <v>849</v>
      </c>
      <c r="G81" t="s">
        <v>1806</v>
      </c>
      <c r="H81" t="s">
        <v>1817</v>
      </c>
    </row>
    <row r="82" spans="1:8" x14ac:dyDescent="0.25">
      <c r="A82" t="s">
        <v>2275</v>
      </c>
      <c r="B82" t="s">
        <v>962</v>
      </c>
      <c r="C82" t="s">
        <v>908</v>
      </c>
      <c r="D82" t="s">
        <v>907</v>
      </c>
      <c r="E82" t="s">
        <v>838</v>
      </c>
      <c r="F82" t="s">
        <v>837</v>
      </c>
      <c r="G82" t="s">
        <v>1810</v>
      </c>
      <c r="H82" t="s">
        <v>1817</v>
      </c>
    </row>
    <row r="83" spans="1:8" x14ac:dyDescent="0.25">
      <c r="A83" t="s">
        <v>215</v>
      </c>
      <c r="B83" t="s">
        <v>962</v>
      </c>
      <c r="C83" t="s">
        <v>908</v>
      </c>
      <c r="D83" t="s">
        <v>907</v>
      </c>
      <c r="E83" t="s">
        <v>838</v>
      </c>
      <c r="F83" t="s">
        <v>837</v>
      </c>
      <c r="G83" t="s">
        <v>1810</v>
      </c>
      <c r="H83" t="s">
        <v>1817</v>
      </c>
    </row>
    <row r="84" spans="1:8" x14ac:dyDescent="0.25">
      <c r="A84" t="s">
        <v>216</v>
      </c>
      <c r="B84" t="s">
        <v>1766</v>
      </c>
      <c r="C84" t="s">
        <v>1839</v>
      </c>
      <c r="D84" t="s">
        <v>1840</v>
      </c>
      <c r="E84" t="s">
        <v>1841</v>
      </c>
      <c r="F84" t="s">
        <v>1281</v>
      </c>
      <c r="G84" t="s">
        <v>1806</v>
      </c>
    </row>
    <row r="85" spans="1:8" x14ac:dyDescent="0.25">
      <c r="A85" t="s">
        <v>217</v>
      </c>
      <c r="B85" t="s">
        <v>965</v>
      </c>
      <c r="C85" t="s">
        <v>964</v>
      </c>
      <c r="D85" t="s">
        <v>963</v>
      </c>
      <c r="E85" t="s">
        <v>838</v>
      </c>
      <c r="F85" t="s">
        <v>837</v>
      </c>
      <c r="G85" t="s">
        <v>1810</v>
      </c>
      <c r="H85" t="s">
        <v>1817</v>
      </c>
    </row>
    <row r="86" spans="1:8" x14ac:dyDescent="0.25">
      <c r="A86" t="s">
        <v>218</v>
      </c>
      <c r="B86" t="s">
        <v>966</v>
      </c>
      <c r="C86" t="s">
        <v>916</v>
      </c>
      <c r="D86" t="s">
        <v>915</v>
      </c>
      <c r="E86" t="s">
        <v>880</v>
      </c>
      <c r="F86" t="s">
        <v>837</v>
      </c>
      <c r="G86" t="s">
        <v>1810</v>
      </c>
      <c r="H86" t="s">
        <v>1817</v>
      </c>
    </row>
    <row r="87" spans="1:8" x14ac:dyDescent="0.25">
      <c r="A87" t="s">
        <v>2276</v>
      </c>
      <c r="B87" t="s">
        <v>2277</v>
      </c>
      <c r="C87" t="s">
        <v>2278</v>
      </c>
      <c r="D87" t="s">
        <v>2279</v>
      </c>
      <c r="E87" t="s">
        <v>1728</v>
      </c>
      <c r="F87" t="s">
        <v>1167</v>
      </c>
      <c r="G87" t="s">
        <v>1808</v>
      </c>
      <c r="H87" t="s">
        <v>1817</v>
      </c>
    </row>
    <row r="88" spans="1:8" x14ac:dyDescent="0.25">
      <c r="A88" t="s">
        <v>2280</v>
      </c>
      <c r="B88" t="s">
        <v>2281</v>
      </c>
      <c r="C88" t="s">
        <v>882</v>
      </c>
      <c r="D88" t="s">
        <v>881</v>
      </c>
      <c r="E88" t="s">
        <v>880</v>
      </c>
      <c r="F88" t="s">
        <v>837</v>
      </c>
      <c r="G88" t="s">
        <v>1810</v>
      </c>
      <c r="H88" t="s">
        <v>1817</v>
      </c>
    </row>
    <row r="89" spans="1:8" x14ac:dyDescent="0.25">
      <c r="A89" t="s">
        <v>219</v>
      </c>
      <c r="B89" t="s">
        <v>967</v>
      </c>
      <c r="C89" t="s">
        <v>908</v>
      </c>
      <c r="D89" t="s">
        <v>907</v>
      </c>
      <c r="E89" t="s">
        <v>838</v>
      </c>
      <c r="F89" t="s">
        <v>837</v>
      </c>
      <c r="G89" t="s">
        <v>1810</v>
      </c>
      <c r="H89" t="s">
        <v>1817</v>
      </c>
    </row>
    <row r="90" spans="1:8" x14ac:dyDescent="0.25">
      <c r="A90" t="s">
        <v>220</v>
      </c>
      <c r="B90" t="s">
        <v>971</v>
      </c>
      <c r="C90" t="s">
        <v>970</v>
      </c>
      <c r="D90" t="s">
        <v>969</v>
      </c>
      <c r="E90" t="s">
        <v>968</v>
      </c>
      <c r="F90" t="s">
        <v>862</v>
      </c>
      <c r="G90" t="s">
        <v>1806</v>
      </c>
      <c r="H90" t="s">
        <v>1817</v>
      </c>
    </row>
    <row r="91" spans="1:8" x14ac:dyDescent="0.25">
      <c r="A91" t="s">
        <v>221</v>
      </c>
      <c r="B91" t="s">
        <v>974</v>
      </c>
      <c r="C91" t="s">
        <v>973</v>
      </c>
      <c r="D91" t="s">
        <v>972</v>
      </c>
      <c r="E91" t="s">
        <v>968</v>
      </c>
      <c r="F91" t="s">
        <v>862</v>
      </c>
      <c r="G91" t="s">
        <v>1806</v>
      </c>
      <c r="H91" t="s">
        <v>1817</v>
      </c>
    </row>
    <row r="92" spans="1:8" x14ac:dyDescent="0.25">
      <c r="A92" t="s">
        <v>222</v>
      </c>
      <c r="B92" t="s">
        <v>975</v>
      </c>
      <c r="C92" t="s">
        <v>901</v>
      </c>
      <c r="D92" t="s">
        <v>900</v>
      </c>
      <c r="E92" t="s">
        <v>838</v>
      </c>
      <c r="F92" t="s">
        <v>837</v>
      </c>
      <c r="G92" t="s">
        <v>1810</v>
      </c>
      <c r="H92" t="s">
        <v>1817</v>
      </c>
    </row>
    <row r="93" spans="1:8" x14ac:dyDescent="0.25">
      <c r="A93" t="s">
        <v>223</v>
      </c>
      <c r="B93" t="s">
        <v>977</v>
      </c>
      <c r="C93" t="s">
        <v>976</v>
      </c>
      <c r="D93" t="s">
        <v>900</v>
      </c>
      <c r="E93" t="s">
        <v>838</v>
      </c>
      <c r="F93" t="s">
        <v>837</v>
      </c>
      <c r="G93" t="s">
        <v>1810</v>
      </c>
      <c r="H93" t="s">
        <v>1817</v>
      </c>
    </row>
    <row r="94" spans="1:8" x14ac:dyDescent="0.25">
      <c r="A94" t="s">
        <v>224</v>
      </c>
      <c r="B94" t="s">
        <v>977</v>
      </c>
      <c r="C94" t="s">
        <v>976</v>
      </c>
      <c r="D94" t="s">
        <v>900</v>
      </c>
      <c r="E94" t="s">
        <v>838</v>
      </c>
      <c r="F94" t="s">
        <v>837</v>
      </c>
      <c r="G94" t="s">
        <v>1810</v>
      </c>
      <c r="H94" t="s">
        <v>1817</v>
      </c>
    </row>
    <row r="95" spans="1:8" x14ac:dyDescent="0.25">
      <c r="A95" t="s">
        <v>225</v>
      </c>
      <c r="B95" t="s">
        <v>982</v>
      </c>
      <c r="C95" t="s">
        <v>981</v>
      </c>
      <c r="D95" t="s">
        <v>980</v>
      </c>
      <c r="E95" t="s">
        <v>979</v>
      </c>
      <c r="F95" t="s">
        <v>978</v>
      </c>
      <c r="G95" t="s">
        <v>1809</v>
      </c>
      <c r="H95" t="s">
        <v>1817</v>
      </c>
    </row>
    <row r="96" spans="1:8" x14ac:dyDescent="0.25">
      <c r="A96" t="s">
        <v>2282</v>
      </c>
      <c r="B96" t="s">
        <v>2283</v>
      </c>
      <c r="C96" t="s">
        <v>916</v>
      </c>
      <c r="D96" t="s">
        <v>915</v>
      </c>
      <c r="E96" t="s">
        <v>880</v>
      </c>
      <c r="F96" t="s">
        <v>837</v>
      </c>
      <c r="G96" t="s">
        <v>1810</v>
      </c>
      <c r="H96" t="s">
        <v>1817</v>
      </c>
    </row>
    <row r="97" spans="1:8" x14ac:dyDescent="0.25">
      <c r="A97" t="s">
        <v>2284</v>
      </c>
      <c r="B97" t="s">
        <v>2285</v>
      </c>
      <c r="C97" t="s">
        <v>2286</v>
      </c>
      <c r="D97" t="s">
        <v>2287</v>
      </c>
      <c r="E97" t="s">
        <v>2288</v>
      </c>
      <c r="F97" t="s">
        <v>2289</v>
      </c>
      <c r="G97" t="s">
        <v>2290</v>
      </c>
      <c r="H97" t="s">
        <v>1817</v>
      </c>
    </row>
    <row r="98" spans="1:8" x14ac:dyDescent="0.25">
      <c r="A98" t="s">
        <v>226</v>
      </c>
      <c r="B98" t="s">
        <v>986</v>
      </c>
      <c r="C98" t="s">
        <v>985</v>
      </c>
      <c r="D98" t="s">
        <v>984</v>
      </c>
      <c r="E98" t="s">
        <v>983</v>
      </c>
      <c r="F98" t="s">
        <v>837</v>
      </c>
      <c r="G98" t="s">
        <v>1810</v>
      </c>
      <c r="H98" t="s">
        <v>1817</v>
      </c>
    </row>
    <row r="99" spans="1:8" x14ac:dyDescent="0.25">
      <c r="A99" t="s">
        <v>227</v>
      </c>
      <c r="B99" t="s">
        <v>987</v>
      </c>
      <c r="C99" t="s">
        <v>908</v>
      </c>
      <c r="D99" t="s">
        <v>907</v>
      </c>
      <c r="E99" t="s">
        <v>838</v>
      </c>
      <c r="F99" t="s">
        <v>837</v>
      </c>
      <c r="G99" t="s">
        <v>1810</v>
      </c>
      <c r="H99" t="s">
        <v>1817</v>
      </c>
    </row>
    <row r="100" spans="1:8" x14ac:dyDescent="0.25">
      <c r="A100" t="s">
        <v>2291</v>
      </c>
      <c r="B100" t="s">
        <v>2292</v>
      </c>
      <c r="C100" t="s">
        <v>2293</v>
      </c>
      <c r="D100" t="s">
        <v>868</v>
      </c>
      <c r="E100" t="s">
        <v>867</v>
      </c>
      <c r="F100" t="s">
        <v>849</v>
      </c>
      <c r="G100" t="s">
        <v>1806</v>
      </c>
      <c r="H100" t="s">
        <v>1817</v>
      </c>
    </row>
    <row r="101" spans="1:8" x14ac:dyDescent="0.25">
      <c r="A101" t="s">
        <v>228</v>
      </c>
      <c r="B101" t="s">
        <v>988</v>
      </c>
      <c r="C101" t="s">
        <v>913</v>
      </c>
      <c r="D101" t="s">
        <v>871</v>
      </c>
      <c r="E101" t="s">
        <v>867</v>
      </c>
      <c r="F101" t="s">
        <v>849</v>
      </c>
      <c r="G101" t="s">
        <v>1806</v>
      </c>
      <c r="H101" t="s">
        <v>1817</v>
      </c>
    </row>
    <row r="102" spans="1:8" x14ac:dyDescent="0.25">
      <c r="A102" t="s">
        <v>229</v>
      </c>
      <c r="B102" t="s">
        <v>988</v>
      </c>
      <c r="C102" t="s">
        <v>913</v>
      </c>
      <c r="D102" t="s">
        <v>871</v>
      </c>
      <c r="E102" t="s">
        <v>867</v>
      </c>
      <c r="F102" t="s">
        <v>849</v>
      </c>
      <c r="G102" t="s">
        <v>1806</v>
      </c>
      <c r="H102" t="s">
        <v>1817</v>
      </c>
    </row>
    <row r="103" spans="1:8" x14ac:dyDescent="0.25">
      <c r="A103" t="s">
        <v>2294</v>
      </c>
      <c r="B103" t="s">
        <v>988</v>
      </c>
      <c r="C103" t="s">
        <v>913</v>
      </c>
      <c r="D103" t="s">
        <v>871</v>
      </c>
      <c r="E103" t="s">
        <v>867</v>
      </c>
      <c r="F103" t="s">
        <v>849</v>
      </c>
      <c r="G103" t="s">
        <v>1806</v>
      </c>
      <c r="H103" t="s">
        <v>1817</v>
      </c>
    </row>
    <row r="104" spans="1:8" x14ac:dyDescent="0.25">
      <c r="A104" t="s">
        <v>230</v>
      </c>
      <c r="B104" t="s">
        <v>988</v>
      </c>
      <c r="C104" t="s">
        <v>913</v>
      </c>
      <c r="D104" t="s">
        <v>871</v>
      </c>
      <c r="E104" t="s">
        <v>867</v>
      </c>
      <c r="F104" t="s">
        <v>849</v>
      </c>
      <c r="G104" t="s">
        <v>1806</v>
      </c>
      <c r="H104" t="s">
        <v>1817</v>
      </c>
    </row>
    <row r="105" spans="1:8" x14ac:dyDescent="0.25">
      <c r="A105" t="s">
        <v>231</v>
      </c>
      <c r="B105" t="s">
        <v>988</v>
      </c>
      <c r="C105" t="s">
        <v>913</v>
      </c>
      <c r="D105" t="s">
        <v>871</v>
      </c>
      <c r="E105" t="s">
        <v>867</v>
      </c>
      <c r="F105" t="s">
        <v>849</v>
      </c>
      <c r="G105" t="s">
        <v>1806</v>
      </c>
      <c r="H105" t="s">
        <v>1817</v>
      </c>
    </row>
    <row r="106" spans="1:8" x14ac:dyDescent="0.25">
      <c r="A106" t="s">
        <v>232</v>
      </c>
      <c r="B106" t="s">
        <v>988</v>
      </c>
      <c r="C106" t="s">
        <v>913</v>
      </c>
      <c r="D106" t="s">
        <v>871</v>
      </c>
      <c r="E106" t="s">
        <v>867</v>
      </c>
      <c r="F106" t="s">
        <v>849</v>
      </c>
      <c r="G106" t="s">
        <v>1806</v>
      </c>
      <c r="H106" t="s">
        <v>1817</v>
      </c>
    </row>
    <row r="107" spans="1:8" x14ac:dyDescent="0.25">
      <c r="A107" t="s">
        <v>233</v>
      </c>
      <c r="B107" t="s">
        <v>992</v>
      </c>
      <c r="C107" t="s">
        <v>991</v>
      </c>
      <c r="D107" t="s">
        <v>990</v>
      </c>
      <c r="E107" t="s">
        <v>989</v>
      </c>
      <c r="F107" t="s">
        <v>849</v>
      </c>
      <c r="G107" t="s">
        <v>1806</v>
      </c>
      <c r="H107" t="s">
        <v>1817</v>
      </c>
    </row>
    <row r="108" spans="1:8" x14ac:dyDescent="0.25">
      <c r="A108" t="s">
        <v>234</v>
      </c>
      <c r="B108" t="s">
        <v>994</v>
      </c>
      <c r="C108" t="s">
        <v>993</v>
      </c>
      <c r="D108" t="s">
        <v>868</v>
      </c>
      <c r="E108" t="s">
        <v>867</v>
      </c>
      <c r="F108" t="s">
        <v>849</v>
      </c>
      <c r="G108" t="s">
        <v>1806</v>
      </c>
      <c r="H108" t="s">
        <v>1817</v>
      </c>
    </row>
    <row r="109" spans="1:8" x14ac:dyDescent="0.25">
      <c r="A109" t="s">
        <v>2295</v>
      </c>
      <c r="B109" t="s">
        <v>2296</v>
      </c>
      <c r="C109" t="s">
        <v>2297</v>
      </c>
      <c r="D109" t="s">
        <v>2298</v>
      </c>
      <c r="E109" t="s">
        <v>2299</v>
      </c>
      <c r="F109" t="s">
        <v>2300</v>
      </c>
      <c r="G109" t="s">
        <v>2290</v>
      </c>
      <c r="H109" t="s">
        <v>1817</v>
      </c>
    </row>
    <row r="110" spans="1:8" x14ac:dyDescent="0.25">
      <c r="A110" t="s">
        <v>2301</v>
      </c>
      <c r="B110" t="s">
        <v>2302</v>
      </c>
      <c r="C110" t="s">
        <v>901</v>
      </c>
      <c r="D110" t="s">
        <v>900</v>
      </c>
      <c r="E110" t="s">
        <v>838</v>
      </c>
      <c r="F110" t="s">
        <v>837</v>
      </c>
      <c r="G110" t="s">
        <v>1810</v>
      </c>
      <c r="H110" t="s">
        <v>1817</v>
      </c>
    </row>
    <row r="111" spans="1:8" x14ac:dyDescent="0.25">
      <c r="A111" t="s">
        <v>235</v>
      </c>
      <c r="B111" t="s">
        <v>1767</v>
      </c>
      <c r="D111" t="s">
        <v>1682</v>
      </c>
      <c r="E111" t="s">
        <v>1842</v>
      </c>
      <c r="F111" t="s">
        <v>1681</v>
      </c>
      <c r="G111" t="s">
        <v>1809</v>
      </c>
    </row>
    <row r="112" spans="1:8" x14ac:dyDescent="0.25">
      <c r="A112" t="s">
        <v>236</v>
      </c>
      <c r="B112" t="s">
        <v>995</v>
      </c>
      <c r="C112" t="s">
        <v>893</v>
      </c>
      <c r="D112" t="s">
        <v>868</v>
      </c>
      <c r="E112" t="s">
        <v>867</v>
      </c>
      <c r="F112" t="s">
        <v>849</v>
      </c>
      <c r="G112" t="s">
        <v>1806</v>
      </c>
      <c r="H112" t="s">
        <v>1817</v>
      </c>
    </row>
    <row r="113" spans="1:8" x14ac:dyDescent="0.25">
      <c r="A113" t="s">
        <v>237</v>
      </c>
      <c r="B113" t="s">
        <v>996</v>
      </c>
      <c r="C113" t="s">
        <v>908</v>
      </c>
      <c r="D113" t="s">
        <v>907</v>
      </c>
      <c r="E113" t="s">
        <v>838</v>
      </c>
      <c r="F113" t="s">
        <v>837</v>
      </c>
      <c r="G113" t="s">
        <v>1810</v>
      </c>
      <c r="H113" t="s">
        <v>1817</v>
      </c>
    </row>
    <row r="114" spans="1:8" x14ac:dyDescent="0.25">
      <c r="A114" t="s">
        <v>2303</v>
      </c>
      <c r="B114" t="s">
        <v>2304</v>
      </c>
      <c r="C114" t="s">
        <v>2305</v>
      </c>
      <c r="D114" t="s">
        <v>1670</v>
      </c>
      <c r="E114" t="s">
        <v>1669</v>
      </c>
      <c r="F114" t="s">
        <v>1065</v>
      </c>
      <c r="G114" t="s">
        <v>1809</v>
      </c>
      <c r="H114" t="s">
        <v>1820</v>
      </c>
    </row>
    <row r="115" spans="1:8" x14ac:dyDescent="0.25">
      <c r="A115" t="s">
        <v>2309</v>
      </c>
      <c r="B115" t="s">
        <v>2310</v>
      </c>
      <c r="C115" t="s">
        <v>2311</v>
      </c>
      <c r="D115" t="s">
        <v>1121</v>
      </c>
      <c r="E115" t="s">
        <v>867</v>
      </c>
      <c r="F115" t="s">
        <v>849</v>
      </c>
      <c r="G115" t="s">
        <v>1806</v>
      </c>
      <c r="H115" t="s">
        <v>1817</v>
      </c>
    </row>
    <row r="116" spans="1:8" x14ac:dyDescent="0.25">
      <c r="A116" t="s">
        <v>2306</v>
      </c>
      <c r="B116" t="s">
        <v>2307</v>
      </c>
      <c r="C116" t="s">
        <v>2308</v>
      </c>
      <c r="D116" t="s">
        <v>1121</v>
      </c>
      <c r="E116" t="s">
        <v>867</v>
      </c>
      <c r="F116" t="s">
        <v>849</v>
      </c>
      <c r="G116" t="s">
        <v>1806</v>
      </c>
      <c r="H116" t="s">
        <v>1817</v>
      </c>
    </row>
    <row r="117" spans="1:8" x14ac:dyDescent="0.25">
      <c r="A117" t="s">
        <v>238</v>
      </c>
      <c r="B117" t="s">
        <v>998</v>
      </c>
      <c r="C117" t="s">
        <v>997</v>
      </c>
      <c r="D117" t="s">
        <v>868</v>
      </c>
      <c r="E117" t="s">
        <v>867</v>
      </c>
      <c r="F117" t="s">
        <v>849</v>
      </c>
      <c r="G117" t="s">
        <v>1806</v>
      </c>
      <c r="H117" t="s">
        <v>1817</v>
      </c>
    </row>
    <row r="118" spans="1:8" x14ac:dyDescent="0.25">
      <c r="A118" t="s">
        <v>2312</v>
      </c>
      <c r="B118" t="s">
        <v>2313</v>
      </c>
      <c r="C118" t="s">
        <v>2314</v>
      </c>
      <c r="D118" t="s">
        <v>2315</v>
      </c>
      <c r="E118" t="s">
        <v>1352</v>
      </c>
      <c r="F118" t="s">
        <v>1065</v>
      </c>
      <c r="G118" t="s">
        <v>1809</v>
      </c>
      <c r="H118" t="s">
        <v>1817</v>
      </c>
    </row>
    <row r="119" spans="1:8" x14ac:dyDescent="0.25">
      <c r="A119" t="s">
        <v>239</v>
      </c>
      <c r="B119" t="s">
        <v>1000</v>
      </c>
      <c r="C119" t="s">
        <v>999</v>
      </c>
      <c r="D119" t="s">
        <v>924</v>
      </c>
      <c r="E119" t="s">
        <v>923</v>
      </c>
      <c r="F119" t="s">
        <v>862</v>
      </c>
      <c r="G119" t="s">
        <v>1806</v>
      </c>
      <c r="H119" t="s">
        <v>1817</v>
      </c>
    </row>
    <row r="120" spans="1:8" x14ac:dyDescent="0.25">
      <c r="A120" t="s">
        <v>240</v>
      </c>
      <c r="B120" t="s">
        <v>1001</v>
      </c>
      <c r="C120" t="s">
        <v>948</v>
      </c>
      <c r="D120" t="s">
        <v>928</v>
      </c>
      <c r="E120" t="s">
        <v>867</v>
      </c>
      <c r="F120" t="s">
        <v>849</v>
      </c>
      <c r="G120" t="s">
        <v>1806</v>
      </c>
      <c r="H120" t="s">
        <v>1817</v>
      </c>
    </row>
    <row r="121" spans="1:8" x14ac:dyDescent="0.25">
      <c r="A121" t="s">
        <v>1005</v>
      </c>
      <c r="B121" t="s">
        <v>1004</v>
      </c>
      <c r="C121" t="s">
        <v>1003</v>
      </c>
      <c r="D121" t="s">
        <v>1002</v>
      </c>
      <c r="E121" t="s">
        <v>968</v>
      </c>
      <c r="F121" t="s">
        <v>862</v>
      </c>
      <c r="G121" t="s">
        <v>1806</v>
      </c>
      <c r="H121" t="s">
        <v>1817</v>
      </c>
    </row>
    <row r="122" spans="1:8" x14ac:dyDescent="0.25">
      <c r="A122" t="s">
        <v>241</v>
      </c>
      <c r="B122" t="s">
        <v>1006</v>
      </c>
      <c r="C122" t="s">
        <v>936</v>
      </c>
      <c r="D122" t="s">
        <v>884</v>
      </c>
      <c r="E122" t="s">
        <v>867</v>
      </c>
      <c r="F122" t="s">
        <v>849</v>
      </c>
      <c r="G122" t="s">
        <v>1806</v>
      </c>
      <c r="H122" t="s">
        <v>1819</v>
      </c>
    </row>
    <row r="123" spans="1:8" x14ac:dyDescent="0.25">
      <c r="A123" t="s">
        <v>2316</v>
      </c>
      <c r="B123" t="s">
        <v>2317</v>
      </c>
      <c r="C123" t="s">
        <v>2318</v>
      </c>
      <c r="D123" t="s">
        <v>2319</v>
      </c>
      <c r="E123" t="s">
        <v>2320</v>
      </c>
      <c r="F123" t="s">
        <v>862</v>
      </c>
      <c r="G123" t="s">
        <v>1806</v>
      </c>
      <c r="H123" t="s">
        <v>1817</v>
      </c>
    </row>
    <row r="124" spans="1:8" x14ac:dyDescent="0.25">
      <c r="A124" t="s">
        <v>2321</v>
      </c>
      <c r="B124" t="s">
        <v>2322</v>
      </c>
      <c r="C124" t="s">
        <v>2318</v>
      </c>
      <c r="D124" t="s">
        <v>2319</v>
      </c>
      <c r="E124" t="s">
        <v>2320</v>
      </c>
      <c r="F124" t="s">
        <v>862</v>
      </c>
      <c r="G124" t="s">
        <v>1806</v>
      </c>
      <c r="H124" t="s">
        <v>1817</v>
      </c>
    </row>
    <row r="125" spans="1:8" x14ac:dyDescent="0.25">
      <c r="A125" t="s">
        <v>2323</v>
      </c>
      <c r="B125" t="s">
        <v>2324</v>
      </c>
      <c r="C125" t="s">
        <v>2325</v>
      </c>
      <c r="D125" t="s">
        <v>2326</v>
      </c>
      <c r="E125" t="s">
        <v>2327</v>
      </c>
      <c r="F125" t="s">
        <v>2328</v>
      </c>
      <c r="G125" t="s">
        <v>2290</v>
      </c>
      <c r="H125" t="s">
        <v>1817</v>
      </c>
    </row>
    <row r="126" spans="1:8" x14ac:dyDescent="0.25">
      <c r="A126" t="s">
        <v>242</v>
      </c>
      <c r="B126" t="s">
        <v>1007</v>
      </c>
      <c r="C126" t="s">
        <v>916</v>
      </c>
      <c r="D126" t="s">
        <v>915</v>
      </c>
      <c r="E126" t="s">
        <v>880</v>
      </c>
      <c r="F126" t="s">
        <v>837</v>
      </c>
      <c r="G126" t="s">
        <v>1810</v>
      </c>
      <c r="H126" t="s">
        <v>1817</v>
      </c>
    </row>
    <row r="127" spans="1:8" x14ac:dyDescent="0.25">
      <c r="A127" t="s">
        <v>2329</v>
      </c>
      <c r="B127" t="s">
        <v>1007</v>
      </c>
      <c r="C127" t="s">
        <v>916</v>
      </c>
      <c r="D127" t="s">
        <v>915</v>
      </c>
      <c r="E127" t="s">
        <v>880</v>
      </c>
      <c r="F127" t="s">
        <v>837</v>
      </c>
      <c r="G127" t="s">
        <v>1810</v>
      </c>
      <c r="H127" t="s">
        <v>1817</v>
      </c>
    </row>
    <row r="128" spans="1:8" x14ac:dyDescent="0.25">
      <c r="A128" t="s">
        <v>2330</v>
      </c>
      <c r="B128" t="s">
        <v>1007</v>
      </c>
      <c r="C128" t="s">
        <v>916</v>
      </c>
      <c r="D128" t="s">
        <v>915</v>
      </c>
      <c r="E128" t="s">
        <v>880</v>
      </c>
      <c r="F128" t="s">
        <v>837</v>
      </c>
      <c r="G128" t="s">
        <v>1810</v>
      </c>
      <c r="H128" t="s">
        <v>1817</v>
      </c>
    </row>
    <row r="129" spans="1:8" x14ac:dyDescent="0.25">
      <c r="A129" t="s">
        <v>243</v>
      </c>
      <c r="B129" t="s">
        <v>1008</v>
      </c>
      <c r="C129" t="s">
        <v>840</v>
      </c>
      <c r="D129" t="s">
        <v>839</v>
      </c>
      <c r="E129" t="s">
        <v>838</v>
      </c>
      <c r="F129" t="s">
        <v>837</v>
      </c>
      <c r="G129" t="s">
        <v>1810</v>
      </c>
      <c r="H129" t="s">
        <v>1817</v>
      </c>
    </row>
    <row r="130" spans="1:8" x14ac:dyDescent="0.25">
      <c r="A130" t="s">
        <v>2331</v>
      </c>
      <c r="B130" t="s">
        <v>2332</v>
      </c>
      <c r="C130" t="s">
        <v>2333</v>
      </c>
      <c r="D130" t="s">
        <v>1248</v>
      </c>
      <c r="E130" t="s">
        <v>1247</v>
      </c>
      <c r="F130" t="s">
        <v>1246</v>
      </c>
      <c r="G130" t="s">
        <v>1806</v>
      </c>
      <c r="H130" t="s">
        <v>1817</v>
      </c>
    </row>
    <row r="131" spans="1:8" x14ac:dyDescent="0.25">
      <c r="A131" t="s">
        <v>244</v>
      </c>
      <c r="B131" t="s">
        <v>1009</v>
      </c>
      <c r="C131" t="s">
        <v>898</v>
      </c>
      <c r="D131" t="s">
        <v>897</v>
      </c>
      <c r="E131" t="s">
        <v>863</v>
      </c>
      <c r="F131" t="s">
        <v>862</v>
      </c>
      <c r="G131" t="s">
        <v>1806</v>
      </c>
      <c r="H131" t="s">
        <v>1817</v>
      </c>
    </row>
    <row r="132" spans="1:8" x14ac:dyDescent="0.25">
      <c r="A132" t="s">
        <v>2334</v>
      </c>
      <c r="B132" t="s">
        <v>2335</v>
      </c>
      <c r="C132" t="s">
        <v>1854</v>
      </c>
      <c r="D132" t="s">
        <v>1855</v>
      </c>
      <c r="E132" t="s">
        <v>838</v>
      </c>
      <c r="F132" t="s">
        <v>837</v>
      </c>
      <c r="G132" t="s">
        <v>1810</v>
      </c>
      <c r="H132" t="s">
        <v>1817</v>
      </c>
    </row>
    <row r="133" spans="1:8" x14ac:dyDescent="0.25">
      <c r="A133" t="s">
        <v>245</v>
      </c>
      <c r="B133" t="s">
        <v>1010</v>
      </c>
      <c r="C133" t="s">
        <v>916</v>
      </c>
      <c r="D133" t="s">
        <v>915</v>
      </c>
      <c r="E133" t="s">
        <v>880</v>
      </c>
      <c r="F133" t="s">
        <v>837</v>
      </c>
      <c r="G133" t="s">
        <v>1810</v>
      </c>
      <c r="H133" t="s">
        <v>1817</v>
      </c>
    </row>
    <row r="134" spans="1:8" x14ac:dyDescent="0.25">
      <c r="A134" t="s">
        <v>246</v>
      </c>
      <c r="B134" t="s">
        <v>1012</v>
      </c>
      <c r="C134" t="s">
        <v>1011</v>
      </c>
      <c r="D134" t="s">
        <v>884</v>
      </c>
      <c r="E134" t="s">
        <v>867</v>
      </c>
      <c r="F134" t="s">
        <v>849</v>
      </c>
      <c r="G134" t="s">
        <v>1806</v>
      </c>
      <c r="H134" t="s">
        <v>1817</v>
      </c>
    </row>
    <row r="135" spans="1:8" x14ac:dyDescent="0.25">
      <c r="A135" t="s">
        <v>247</v>
      </c>
      <c r="B135" t="s">
        <v>1013</v>
      </c>
      <c r="C135" t="s">
        <v>1011</v>
      </c>
      <c r="D135" t="s">
        <v>884</v>
      </c>
      <c r="E135" t="s">
        <v>867</v>
      </c>
      <c r="F135" t="s">
        <v>849</v>
      </c>
      <c r="G135" t="s">
        <v>1806</v>
      </c>
      <c r="H135" t="s">
        <v>1817</v>
      </c>
    </row>
    <row r="136" spans="1:8" x14ac:dyDescent="0.25">
      <c r="A136" t="s">
        <v>248</v>
      </c>
      <c r="B136" t="s">
        <v>1016</v>
      </c>
      <c r="C136" t="s">
        <v>1015</v>
      </c>
      <c r="D136" t="s">
        <v>1014</v>
      </c>
      <c r="E136" t="s">
        <v>838</v>
      </c>
      <c r="F136" t="s">
        <v>837</v>
      </c>
      <c r="G136" t="s">
        <v>1810</v>
      </c>
      <c r="H136" t="s">
        <v>1819</v>
      </c>
    </row>
    <row r="137" spans="1:8" x14ac:dyDescent="0.25">
      <c r="A137" t="s">
        <v>249</v>
      </c>
      <c r="B137" t="s">
        <v>1017</v>
      </c>
      <c r="C137" t="s">
        <v>1003</v>
      </c>
      <c r="D137" t="s">
        <v>1002</v>
      </c>
      <c r="E137" t="s">
        <v>968</v>
      </c>
      <c r="F137" t="s">
        <v>862</v>
      </c>
      <c r="G137" t="s">
        <v>1806</v>
      </c>
      <c r="H137" t="s">
        <v>1817</v>
      </c>
    </row>
    <row r="138" spans="1:8" x14ac:dyDescent="0.25">
      <c r="A138" t="s">
        <v>250</v>
      </c>
      <c r="B138" t="s">
        <v>1019</v>
      </c>
      <c r="C138" t="s">
        <v>1018</v>
      </c>
      <c r="D138" t="s">
        <v>846</v>
      </c>
      <c r="E138" t="s">
        <v>838</v>
      </c>
      <c r="F138" t="s">
        <v>837</v>
      </c>
      <c r="G138" t="s">
        <v>1810</v>
      </c>
      <c r="H138" t="s">
        <v>1817</v>
      </c>
    </row>
    <row r="139" spans="1:8" x14ac:dyDescent="0.25">
      <c r="A139" t="s">
        <v>251</v>
      </c>
      <c r="B139" t="s">
        <v>1021</v>
      </c>
      <c r="C139" t="s">
        <v>1020</v>
      </c>
      <c r="D139" t="s">
        <v>943</v>
      </c>
      <c r="E139" t="s">
        <v>919</v>
      </c>
      <c r="F139" t="s">
        <v>918</v>
      </c>
      <c r="G139" t="s">
        <v>1806</v>
      </c>
      <c r="H139" t="s">
        <v>1817</v>
      </c>
    </row>
    <row r="140" spans="1:8" x14ac:dyDescent="0.25">
      <c r="A140" t="s">
        <v>252</v>
      </c>
      <c r="B140" t="s">
        <v>1025</v>
      </c>
      <c r="C140" t="s">
        <v>1024</v>
      </c>
      <c r="D140" t="s">
        <v>1023</v>
      </c>
      <c r="E140" t="s">
        <v>1022</v>
      </c>
      <c r="F140" t="s">
        <v>849</v>
      </c>
      <c r="G140" t="s">
        <v>1806</v>
      </c>
      <c r="H140" t="s">
        <v>1817</v>
      </c>
    </row>
    <row r="141" spans="1:8" x14ac:dyDescent="0.25">
      <c r="A141" t="s">
        <v>253</v>
      </c>
      <c r="B141" t="s">
        <v>1025</v>
      </c>
      <c r="C141" t="s">
        <v>1024</v>
      </c>
      <c r="D141" t="s">
        <v>1023</v>
      </c>
      <c r="E141" t="s">
        <v>1022</v>
      </c>
      <c r="F141" t="s">
        <v>849</v>
      </c>
      <c r="G141" t="s">
        <v>1806</v>
      </c>
      <c r="H141" t="s">
        <v>1817</v>
      </c>
    </row>
    <row r="142" spans="1:8" x14ac:dyDescent="0.25">
      <c r="A142" t="s">
        <v>254</v>
      </c>
      <c r="B142" t="s">
        <v>1028</v>
      </c>
      <c r="C142" t="s">
        <v>1027</v>
      </c>
      <c r="D142" t="s">
        <v>1026</v>
      </c>
      <c r="E142" t="s">
        <v>838</v>
      </c>
      <c r="F142" t="s">
        <v>837</v>
      </c>
      <c r="G142" t="s">
        <v>1810</v>
      </c>
      <c r="H142" t="s">
        <v>1817</v>
      </c>
    </row>
    <row r="143" spans="1:8" x14ac:dyDescent="0.25">
      <c r="A143" t="s">
        <v>255</v>
      </c>
      <c r="B143" t="s">
        <v>1031</v>
      </c>
      <c r="C143" t="s">
        <v>1030</v>
      </c>
      <c r="D143" t="s">
        <v>1029</v>
      </c>
      <c r="E143" t="s">
        <v>867</v>
      </c>
      <c r="F143" t="s">
        <v>849</v>
      </c>
      <c r="G143" t="s">
        <v>1806</v>
      </c>
      <c r="H143" t="s">
        <v>1817</v>
      </c>
    </row>
    <row r="144" spans="1:8" x14ac:dyDescent="0.25">
      <c r="A144" t="s">
        <v>256</v>
      </c>
      <c r="B144" t="s">
        <v>1032</v>
      </c>
      <c r="C144" t="s">
        <v>843</v>
      </c>
      <c r="D144" t="s">
        <v>842</v>
      </c>
      <c r="E144" t="s">
        <v>838</v>
      </c>
      <c r="F144" t="s">
        <v>837</v>
      </c>
      <c r="G144" t="s">
        <v>1810</v>
      </c>
      <c r="H144" t="s">
        <v>1817</v>
      </c>
    </row>
    <row r="145" spans="1:8" x14ac:dyDescent="0.25">
      <c r="A145" t="s">
        <v>257</v>
      </c>
      <c r="B145" t="s">
        <v>1034</v>
      </c>
      <c r="C145" t="s">
        <v>1033</v>
      </c>
      <c r="D145" t="s">
        <v>884</v>
      </c>
      <c r="E145" t="s">
        <v>867</v>
      </c>
      <c r="F145" t="s">
        <v>849</v>
      </c>
      <c r="G145" t="s">
        <v>1806</v>
      </c>
      <c r="H145" t="s">
        <v>1819</v>
      </c>
    </row>
    <row r="146" spans="1:8" x14ac:dyDescent="0.25">
      <c r="A146" t="s">
        <v>2336</v>
      </c>
      <c r="B146" t="s">
        <v>1034</v>
      </c>
      <c r="C146" t="s">
        <v>1033</v>
      </c>
      <c r="D146" t="s">
        <v>884</v>
      </c>
      <c r="E146" t="s">
        <v>867</v>
      </c>
      <c r="F146" t="s">
        <v>849</v>
      </c>
      <c r="G146" t="s">
        <v>1806</v>
      </c>
      <c r="H146" t="s">
        <v>1817</v>
      </c>
    </row>
    <row r="147" spans="1:8" x14ac:dyDescent="0.25">
      <c r="A147" t="s">
        <v>258</v>
      </c>
      <c r="B147" t="s">
        <v>1038</v>
      </c>
      <c r="C147" t="s">
        <v>1037</v>
      </c>
      <c r="D147" t="s">
        <v>1036</v>
      </c>
      <c r="E147" t="s">
        <v>1035</v>
      </c>
      <c r="F147" t="s">
        <v>849</v>
      </c>
      <c r="G147" t="s">
        <v>1806</v>
      </c>
      <c r="H147" t="s">
        <v>1817</v>
      </c>
    </row>
    <row r="148" spans="1:8" x14ac:dyDescent="0.25">
      <c r="A148" t="s">
        <v>259</v>
      </c>
      <c r="B148" t="s">
        <v>1768</v>
      </c>
      <c r="C148" t="s">
        <v>1236</v>
      </c>
      <c r="D148" t="s">
        <v>838</v>
      </c>
      <c r="E148" t="s">
        <v>1107</v>
      </c>
      <c r="F148" t="s">
        <v>837</v>
      </c>
      <c r="G148" t="s">
        <v>1810</v>
      </c>
    </row>
    <row r="149" spans="1:8" x14ac:dyDescent="0.25">
      <c r="A149" t="s">
        <v>260</v>
      </c>
      <c r="B149" t="s">
        <v>1039</v>
      </c>
      <c r="C149" t="s">
        <v>973</v>
      </c>
      <c r="D149" t="s">
        <v>972</v>
      </c>
      <c r="E149" t="s">
        <v>968</v>
      </c>
      <c r="F149" t="s">
        <v>862</v>
      </c>
      <c r="G149" t="s">
        <v>1806</v>
      </c>
      <c r="H149" t="s">
        <v>1817</v>
      </c>
    </row>
    <row r="150" spans="1:8" x14ac:dyDescent="0.25">
      <c r="A150" t="s">
        <v>261</v>
      </c>
      <c r="B150" t="s">
        <v>1769</v>
      </c>
      <c r="C150" t="s">
        <v>1011</v>
      </c>
      <c r="D150" t="s">
        <v>867</v>
      </c>
      <c r="E150" t="s">
        <v>884</v>
      </c>
      <c r="F150" t="s">
        <v>849</v>
      </c>
      <c r="G150" t="s">
        <v>1806</v>
      </c>
    </row>
    <row r="151" spans="1:8" x14ac:dyDescent="0.25">
      <c r="A151" t="s">
        <v>262</v>
      </c>
      <c r="B151" t="s">
        <v>1040</v>
      </c>
      <c r="C151" t="s">
        <v>954</v>
      </c>
      <c r="D151" t="s">
        <v>953</v>
      </c>
      <c r="E151" t="s">
        <v>838</v>
      </c>
      <c r="F151" t="s">
        <v>837</v>
      </c>
      <c r="G151" t="s">
        <v>1810</v>
      </c>
      <c r="H151" t="s">
        <v>1817</v>
      </c>
    </row>
    <row r="152" spans="1:8" x14ac:dyDescent="0.25">
      <c r="A152" t="s">
        <v>263</v>
      </c>
      <c r="B152" t="s">
        <v>1042</v>
      </c>
      <c r="C152" t="s">
        <v>1041</v>
      </c>
      <c r="D152" t="s">
        <v>1002</v>
      </c>
      <c r="E152" t="s">
        <v>968</v>
      </c>
      <c r="F152" t="s">
        <v>862</v>
      </c>
      <c r="G152" t="s">
        <v>1806</v>
      </c>
      <c r="H152" t="s">
        <v>1817</v>
      </c>
    </row>
    <row r="153" spans="1:8" x14ac:dyDescent="0.25">
      <c r="A153" t="s">
        <v>264</v>
      </c>
      <c r="B153" t="s">
        <v>1044</v>
      </c>
      <c r="C153" t="s">
        <v>1043</v>
      </c>
      <c r="D153" t="s">
        <v>1029</v>
      </c>
      <c r="E153" t="s">
        <v>867</v>
      </c>
      <c r="F153" t="s">
        <v>849</v>
      </c>
      <c r="G153" t="s">
        <v>1806</v>
      </c>
      <c r="H153" t="s">
        <v>1817</v>
      </c>
    </row>
    <row r="154" spans="1:8" x14ac:dyDescent="0.25">
      <c r="A154" t="s">
        <v>265</v>
      </c>
      <c r="B154" t="s">
        <v>1047</v>
      </c>
      <c r="C154" t="s">
        <v>1046</v>
      </c>
      <c r="D154" t="s">
        <v>1045</v>
      </c>
      <c r="E154" t="s">
        <v>968</v>
      </c>
      <c r="F154" t="s">
        <v>862</v>
      </c>
      <c r="G154" t="s">
        <v>1806</v>
      </c>
      <c r="H154" t="s">
        <v>1817</v>
      </c>
    </row>
    <row r="155" spans="1:8" x14ac:dyDescent="0.25">
      <c r="A155" t="s">
        <v>266</v>
      </c>
      <c r="B155" t="s">
        <v>1048</v>
      </c>
      <c r="C155" t="s">
        <v>1003</v>
      </c>
      <c r="D155" t="s">
        <v>1002</v>
      </c>
      <c r="E155" t="s">
        <v>968</v>
      </c>
      <c r="F155" t="s">
        <v>862</v>
      </c>
      <c r="G155" t="s">
        <v>1806</v>
      </c>
      <c r="H155" t="s">
        <v>1817</v>
      </c>
    </row>
    <row r="156" spans="1:8" x14ac:dyDescent="0.25">
      <c r="A156" t="s">
        <v>267</v>
      </c>
      <c r="B156" t="s">
        <v>1049</v>
      </c>
      <c r="C156" t="s">
        <v>891</v>
      </c>
      <c r="D156" t="s">
        <v>890</v>
      </c>
      <c r="E156" t="s">
        <v>889</v>
      </c>
      <c r="F156" t="s">
        <v>862</v>
      </c>
      <c r="G156" t="s">
        <v>1806</v>
      </c>
      <c r="H156" t="s">
        <v>1817</v>
      </c>
    </row>
    <row r="157" spans="1:8" x14ac:dyDescent="0.25">
      <c r="A157" t="s">
        <v>2337</v>
      </c>
      <c r="B157" t="s">
        <v>2338</v>
      </c>
      <c r="C157" t="s">
        <v>2339</v>
      </c>
      <c r="D157" t="s">
        <v>1036</v>
      </c>
      <c r="E157" t="s">
        <v>1035</v>
      </c>
      <c r="F157" t="s">
        <v>849</v>
      </c>
      <c r="G157" t="s">
        <v>1806</v>
      </c>
      <c r="H157" t="s">
        <v>1817</v>
      </c>
    </row>
    <row r="158" spans="1:8" x14ac:dyDescent="0.25">
      <c r="A158" t="s">
        <v>2340</v>
      </c>
      <c r="B158" t="s">
        <v>2341</v>
      </c>
      <c r="C158" t="s">
        <v>908</v>
      </c>
      <c r="D158" t="s">
        <v>907</v>
      </c>
      <c r="E158" t="s">
        <v>838</v>
      </c>
      <c r="F158" t="s">
        <v>837</v>
      </c>
      <c r="G158" t="s">
        <v>1810</v>
      </c>
      <c r="H158" t="s">
        <v>1817</v>
      </c>
    </row>
    <row r="159" spans="1:8" x14ac:dyDescent="0.25">
      <c r="A159" t="s">
        <v>2342</v>
      </c>
      <c r="B159" t="s">
        <v>2341</v>
      </c>
      <c r="C159" t="s">
        <v>908</v>
      </c>
      <c r="D159" t="s">
        <v>907</v>
      </c>
      <c r="E159" t="s">
        <v>838</v>
      </c>
      <c r="F159" t="s">
        <v>837</v>
      </c>
      <c r="G159" t="s">
        <v>1810</v>
      </c>
      <c r="H159" t="s">
        <v>1817</v>
      </c>
    </row>
    <row r="160" spans="1:8" x14ac:dyDescent="0.25">
      <c r="A160" t="s">
        <v>2343</v>
      </c>
      <c r="B160" t="s">
        <v>2341</v>
      </c>
      <c r="C160" t="s">
        <v>908</v>
      </c>
      <c r="D160" t="s">
        <v>907</v>
      </c>
      <c r="E160" t="s">
        <v>838</v>
      </c>
      <c r="F160" t="s">
        <v>837</v>
      </c>
      <c r="G160" t="s">
        <v>1810</v>
      </c>
      <c r="H160" t="s">
        <v>1817</v>
      </c>
    </row>
    <row r="161" spans="1:8" x14ac:dyDescent="0.25">
      <c r="A161" t="s">
        <v>2344</v>
      </c>
      <c r="B161" t="s">
        <v>2345</v>
      </c>
      <c r="C161" t="s">
        <v>1153</v>
      </c>
      <c r="D161" t="s">
        <v>915</v>
      </c>
      <c r="E161" t="s">
        <v>880</v>
      </c>
      <c r="F161" t="s">
        <v>837</v>
      </c>
      <c r="G161" t="s">
        <v>1810</v>
      </c>
      <c r="H161" t="s">
        <v>1817</v>
      </c>
    </row>
    <row r="162" spans="1:8" x14ac:dyDescent="0.25">
      <c r="A162" t="s">
        <v>268</v>
      </c>
      <c r="B162" t="s">
        <v>1051</v>
      </c>
      <c r="C162" t="s">
        <v>1050</v>
      </c>
      <c r="D162" t="s">
        <v>900</v>
      </c>
      <c r="E162" t="s">
        <v>838</v>
      </c>
      <c r="F162" t="s">
        <v>837</v>
      </c>
      <c r="G162" t="s">
        <v>1810</v>
      </c>
      <c r="H162" t="s">
        <v>1817</v>
      </c>
    </row>
    <row r="163" spans="1:8" x14ac:dyDescent="0.25">
      <c r="A163" t="s">
        <v>269</v>
      </c>
      <c r="B163" t="s">
        <v>1051</v>
      </c>
      <c r="C163" t="s">
        <v>1050</v>
      </c>
      <c r="D163" t="s">
        <v>900</v>
      </c>
      <c r="E163" t="s">
        <v>838</v>
      </c>
      <c r="F163" t="s">
        <v>837</v>
      </c>
      <c r="G163" t="s">
        <v>1810</v>
      </c>
      <c r="H163" t="s">
        <v>1817</v>
      </c>
    </row>
    <row r="164" spans="1:8" x14ac:dyDescent="0.25">
      <c r="A164" t="s">
        <v>2346</v>
      </c>
      <c r="B164" t="s">
        <v>2347</v>
      </c>
      <c r="C164" t="s">
        <v>908</v>
      </c>
      <c r="D164" t="s">
        <v>907</v>
      </c>
      <c r="E164" t="s">
        <v>838</v>
      </c>
      <c r="F164" t="s">
        <v>837</v>
      </c>
      <c r="G164" t="s">
        <v>1810</v>
      </c>
      <c r="H164" t="s">
        <v>1817</v>
      </c>
    </row>
    <row r="165" spans="1:8" x14ac:dyDescent="0.25">
      <c r="A165" t="s">
        <v>270</v>
      </c>
      <c r="B165" t="s">
        <v>1053</v>
      </c>
      <c r="C165" t="s">
        <v>1052</v>
      </c>
      <c r="D165" t="s">
        <v>972</v>
      </c>
      <c r="E165" t="s">
        <v>968</v>
      </c>
      <c r="F165" t="s">
        <v>862</v>
      </c>
      <c r="G165" t="s">
        <v>1806</v>
      </c>
      <c r="H165" t="s">
        <v>1817</v>
      </c>
    </row>
    <row r="166" spans="1:8" x14ac:dyDescent="0.25">
      <c r="A166" t="s">
        <v>271</v>
      </c>
      <c r="B166" t="s">
        <v>1056</v>
      </c>
      <c r="C166" t="s">
        <v>1055</v>
      </c>
      <c r="D166" t="s">
        <v>1054</v>
      </c>
      <c r="E166" t="s">
        <v>838</v>
      </c>
      <c r="F166" t="s">
        <v>837</v>
      </c>
      <c r="G166" t="s">
        <v>1810</v>
      </c>
      <c r="H166" t="s">
        <v>1817</v>
      </c>
    </row>
    <row r="167" spans="1:8" x14ac:dyDescent="0.25">
      <c r="A167" t="s">
        <v>272</v>
      </c>
      <c r="B167" t="s">
        <v>1056</v>
      </c>
      <c r="C167" t="s">
        <v>1055</v>
      </c>
      <c r="D167" t="s">
        <v>1054</v>
      </c>
      <c r="E167" t="s">
        <v>838</v>
      </c>
      <c r="F167" t="s">
        <v>837</v>
      </c>
      <c r="G167" t="s">
        <v>1810</v>
      </c>
      <c r="H167" t="s">
        <v>1817</v>
      </c>
    </row>
    <row r="168" spans="1:8" x14ac:dyDescent="0.25">
      <c r="A168" t="s">
        <v>273</v>
      </c>
      <c r="B168" t="s">
        <v>1061</v>
      </c>
      <c r="C168" t="s">
        <v>1060</v>
      </c>
      <c r="D168" t="s">
        <v>1059</v>
      </c>
      <c r="E168" t="s">
        <v>1058</v>
      </c>
      <c r="F168" t="s">
        <v>1057</v>
      </c>
      <c r="G168" t="s">
        <v>1810</v>
      </c>
      <c r="H168" t="s">
        <v>1817</v>
      </c>
    </row>
    <row r="169" spans="1:8" x14ac:dyDescent="0.25">
      <c r="A169" t="s">
        <v>274</v>
      </c>
      <c r="B169" t="s">
        <v>1061</v>
      </c>
      <c r="C169" t="s">
        <v>1060</v>
      </c>
      <c r="D169" t="s">
        <v>1059</v>
      </c>
      <c r="E169" t="s">
        <v>1058</v>
      </c>
      <c r="F169" t="s">
        <v>1057</v>
      </c>
      <c r="G169" t="s">
        <v>1810</v>
      </c>
      <c r="H169" t="s">
        <v>1817</v>
      </c>
    </row>
    <row r="170" spans="1:8" x14ac:dyDescent="0.25">
      <c r="A170" t="s">
        <v>275</v>
      </c>
      <c r="B170" t="s">
        <v>1062</v>
      </c>
      <c r="C170" t="s">
        <v>916</v>
      </c>
      <c r="D170" t="s">
        <v>915</v>
      </c>
      <c r="E170" t="s">
        <v>880</v>
      </c>
      <c r="F170" t="s">
        <v>837</v>
      </c>
      <c r="G170" t="s">
        <v>1810</v>
      </c>
      <c r="H170" t="s">
        <v>1817</v>
      </c>
    </row>
    <row r="171" spans="1:8" x14ac:dyDescent="0.25">
      <c r="A171" t="s">
        <v>276</v>
      </c>
      <c r="B171" t="s">
        <v>1062</v>
      </c>
      <c r="C171" t="s">
        <v>916</v>
      </c>
      <c r="D171" t="s">
        <v>915</v>
      </c>
      <c r="E171" t="s">
        <v>880</v>
      </c>
      <c r="F171" t="s">
        <v>837</v>
      </c>
      <c r="G171" t="s">
        <v>1810</v>
      </c>
      <c r="H171" t="s">
        <v>1817</v>
      </c>
    </row>
    <row r="172" spans="1:8" x14ac:dyDescent="0.25">
      <c r="A172" t="s">
        <v>2348</v>
      </c>
      <c r="B172" t="s">
        <v>1062</v>
      </c>
      <c r="C172" t="s">
        <v>916</v>
      </c>
      <c r="D172" t="s">
        <v>915</v>
      </c>
      <c r="E172" t="s">
        <v>880</v>
      </c>
      <c r="F172" t="s">
        <v>837</v>
      </c>
      <c r="G172" t="s">
        <v>1810</v>
      </c>
      <c r="H172" t="s">
        <v>1817</v>
      </c>
    </row>
    <row r="173" spans="1:8" x14ac:dyDescent="0.25">
      <c r="A173" t="s">
        <v>277</v>
      </c>
      <c r="B173" t="s">
        <v>1062</v>
      </c>
      <c r="C173" t="s">
        <v>916</v>
      </c>
      <c r="D173" t="s">
        <v>915</v>
      </c>
      <c r="E173" t="s">
        <v>880</v>
      </c>
      <c r="F173" t="s">
        <v>837</v>
      </c>
      <c r="G173" t="s">
        <v>1810</v>
      </c>
      <c r="H173" t="s">
        <v>1817</v>
      </c>
    </row>
    <row r="174" spans="1:8" x14ac:dyDescent="0.25">
      <c r="A174" t="s">
        <v>278</v>
      </c>
      <c r="B174" t="s">
        <v>1062</v>
      </c>
      <c r="C174" t="s">
        <v>916</v>
      </c>
      <c r="D174" t="s">
        <v>915</v>
      </c>
      <c r="E174" t="s">
        <v>880</v>
      </c>
      <c r="F174" t="s">
        <v>837</v>
      </c>
      <c r="G174" t="s">
        <v>1810</v>
      </c>
      <c r="H174" t="s">
        <v>1817</v>
      </c>
    </row>
    <row r="175" spans="1:8" x14ac:dyDescent="0.25">
      <c r="A175" t="s">
        <v>279</v>
      </c>
      <c r="B175" t="s">
        <v>1062</v>
      </c>
      <c r="C175" t="s">
        <v>916</v>
      </c>
      <c r="D175" t="s">
        <v>915</v>
      </c>
      <c r="E175" t="s">
        <v>880</v>
      </c>
      <c r="F175" t="s">
        <v>837</v>
      </c>
      <c r="G175" t="s">
        <v>1810</v>
      </c>
      <c r="H175" t="s">
        <v>1817</v>
      </c>
    </row>
    <row r="176" spans="1:8" x14ac:dyDescent="0.25">
      <c r="A176" t="s">
        <v>2349</v>
      </c>
      <c r="B176" t="s">
        <v>1062</v>
      </c>
      <c r="C176" t="s">
        <v>916</v>
      </c>
      <c r="D176" t="s">
        <v>915</v>
      </c>
      <c r="E176" t="s">
        <v>880</v>
      </c>
      <c r="F176" t="s">
        <v>837</v>
      </c>
      <c r="G176" t="s">
        <v>1810</v>
      </c>
      <c r="H176" t="s">
        <v>1817</v>
      </c>
    </row>
    <row r="177" spans="1:8" x14ac:dyDescent="0.25">
      <c r="A177" t="s">
        <v>280</v>
      </c>
      <c r="B177" t="s">
        <v>1062</v>
      </c>
      <c r="C177" t="s">
        <v>916</v>
      </c>
      <c r="D177" t="s">
        <v>915</v>
      </c>
      <c r="E177" t="s">
        <v>880</v>
      </c>
      <c r="F177" t="s">
        <v>837</v>
      </c>
      <c r="G177" t="s">
        <v>1810</v>
      </c>
      <c r="H177" t="s">
        <v>1817</v>
      </c>
    </row>
    <row r="178" spans="1:8" x14ac:dyDescent="0.25">
      <c r="A178" t="s">
        <v>281</v>
      </c>
      <c r="B178" t="s">
        <v>1062</v>
      </c>
      <c r="C178" t="s">
        <v>916</v>
      </c>
      <c r="D178" t="s">
        <v>915</v>
      </c>
      <c r="E178" t="s">
        <v>880</v>
      </c>
      <c r="F178" t="s">
        <v>837</v>
      </c>
      <c r="G178" t="s">
        <v>1810</v>
      </c>
      <c r="H178" t="s">
        <v>1817</v>
      </c>
    </row>
    <row r="179" spans="1:8" x14ac:dyDescent="0.25">
      <c r="A179" t="s">
        <v>2350</v>
      </c>
      <c r="B179" t="s">
        <v>1063</v>
      </c>
      <c r="C179" t="s">
        <v>908</v>
      </c>
      <c r="D179" t="s">
        <v>907</v>
      </c>
      <c r="E179" t="s">
        <v>838</v>
      </c>
      <c r="F179" t="s">
        <v>837</v>
      </c>
      <c r="G179" t="s">
        <v>1810</v>
      </c>
      <c r="H179" t="s">
        <v>1817</v>
      </c>
    </row>
    <row r="180" spans="1:8" x14ac:dyDescent="0.25">
      <c r="A180" t="s">
        <v>2351</v>
      </c>
      <c r="B180" t="s">
        <v>1063</v>
      </c>
      <c r="C180" t="s">
        <v>908</v>
      </c>
      <c r="D180" t="s">
        <v>907</v>
      </c>
      <c r="E180" t="s">
        <v>838</v>
      </c>
      <c r="F180" t="s">
        <v>837</v>
      </c>
      <c r="G180" t="s">
        <v>1810</v>
      </c>
      <c r="H180" t="s">
        <v>1817</v>
      </c>
    </row>
    <row r="181" spans="1:8" x14ac:dyDescent="0.25">
      <c r="A181" t="s">
        <v>282</v>
      </c>
      <c r="B181" t="s">
        <v>1063</v>
      </c>
      <c r="C181" t="s">
        <v>908</v>
      </c>
      <c r="D181" t="s">
        <v>907</v>
      </c>
      <c r="E181" t="s">
        <v>838</v>
      </c>
      <c r="F181" t="s">
        <v>837</v>
      </c>
      <c r="G181" t="s">
        <v>1810</v>
      </c>
      <c r="H181" t="s">
        <v>1817</v>
      </c>
    </row>
    <row r="182" spans="1:8" x14ac:dyDescent="0.25">
      <c r="A182" t="s">
        <v>2352</v>
      </c>
      <c r="B182" t="s">
        <v>1063</v>
      </c>
      <c r="C182" t="s">
        <v>908</v>
      </c>
      <c r="D182" t="s">
        <v>907</v>
      </c>
      <c r="E182" t="s">
        <v>838</v>
      </c>
      <c r="F182" t="s">
        <v>837</v>
      </c>
      <c r="G182" t="s">
        <v>1810</v>
      </c>
      <c r="H182" t="s">
        <v>1817</v>
      </c>
    </row>
    <row r="183" spans="1:8" x14ac:dyDescent="0.25">
      <c r="A183" t="s">
        <v>2353</v>
      </c>
      <c r="B183" t="s">
        <v>1063</v>
      </c>
      <c r="C183" t="s">
        <v>908</v>
      </c>
      <c r="D183" t="s">
        <v>907</v>
      </c>
      <c r="E183" t="s">
        <v>838</v>
      </c>
      <c r="F183" t="s">
        <v>837</v>
      </c>
      <c r="G183" t="s">
        <v>1810</v>
      </c>
      <c r="H183" t="s">
        <v>1817</v>
      </c>
    </row>
    <row r="184" spans="1:8" x14ac:dyDescent="0.25">
      <c r="A184" t="s">
        <v>283</v>
      </c>
      <c r="B184" t="s">
        <v>1063</v>
      </c>
      <c r="C184" t="s">
        <v>908</v>
      </c>
      <c r="D184" t="s">
        <v>907</v>
      </c>
      <c r="E184" t="s">
        <v>838</v>
      </c>
      <c r="F184" t="s">
        <v>837</v>
      </c>
      <c r="G184" t="s">
        <v>1810</v>
      </c>
      <c r="H184" t="s">
        <v>1817</v>
      </c>
    </row>
    <row r="185" spans="1:8" x14ac:dyDescent="0.25">
      <c r="A185" t="s">
        <v>2354</v>
      </c>
      <c r="B185" t="s">
        <v>1063</v>
      </c>
      <c r="C185" t="s">
        <v>908</v>
      </c>
      <c r="D185" t="s">
        <v>907</v>
      </c>
      <c r="E185" t="s">
        <v>838</v>
      </c>
      <c r="F185" t="s">
        <v>837</v>
      </c>
      <c r="G185" t="s">
        <v>1810</v>
      </c>
      <c r="H185" t="s">
        <v>1817</v>
      </c>
    </row>
    <row r="186" spans="1:8" x14ac:dyDescent="0.25">
      <c r="A186" t="s">
        <v>2355</v>
      </c>
      <c r="B186" t="s">
        <v>1063</v>
      </c>
      <c r="C186" t="s">
        <v>908</v>
      </c>
      <c r="D186" t="s">
        <v>907</v>
      </c>
      <c r="E186" t="s">
        <v>838</v>
      </c>
      <c r="F186" t="s">
        <v>837</v>
      </c>
      <c r="G186" t="s">
        <v>1810</v>
      </c>
      <c r="H186" t="s">
        <v>1817</v>
      </c>
    </row>
    <row r="187" spans="1:8" x14ac:dyDescent="0.25">
      <c r="A187" t="s">
        <v>284</v>
      </c>
      <c r="B187" t="s">
        <v>1064</v>
      </c>
      <c r="C187" t="s">
        <v>913</v>
      </c>
      <c r="D187" t="s">
        <v>871</v>
      </c>
      <c r="E187" t="s">
        <v>867</v>
      </c>
      <c r="F187" t="s">
        <v>849</v>
      </c>
      <c r="G187" t="s">
        <v>1806</v>
      </c>
      <c r="H187" t="s">
        <v>1817</v>
      </c>
    </row>
    <row r="188" spans="1:8" x14ac:dyDescent="0.25">
      <c r="A188" t="s">
        <v>285</v>
      </c>
      <c r="B188" t="s">
        <v>1069</v>
      </c>
      <c r="C188" t="s">
        <v>1068</v>
      </c>
      <c r="D188" t="s">
        <v>1067</v>
      </c>
      <c r="E188" t="s">
        <v>1066</v>
      </c>
      <c r="F188" t="s">
        <v>1065</v>
      </c>
      <c r="G188" t="s">
        <v>1809</v>
      </c>
      <c r="H188" t="s">
        <v>1817</v>
      </c>
    </row>
    <row r="189" spans="1:8" x14ac:dyDescent="0.25">
      <c r="A189" t="s">
        <v>2356</v>
      </c>
      <c r="B189" t="s">
        <v>2357</v>
      </c>
      <c r="C189" t="s">
        <v>843</v>
      </c>
      <c r="D189" t="s">
        <v>842</v>
      </c>
      <c r="E189" t="s">
        <v>838</v>
      </c>
      <c r="F189" t="s">
        <v>837</v>
      </c>
      <c r="G189" t="s">
        <v>1810</v>
      </c>
      <c r="H189" t="s">
        <v>1817</v>
      </c>
    </row>
    <row r="190" spans="1:8" x14ac:dyDescent="0.25">
      <c r="A190" t="s">
        <v>286</v>
      </c>
      <c r="B190" t="s">
        <v>1070</v>
      </c>
      <c r="C190" t="s">
        <v>1024</v>
      </c>
      <c r="D190" t="s">
        <v>1023</v>
      </c>
      <c r="E190" t="s">
        <v>1022</v>
      </c>
      <c r="F190" t="s">
        <v>849</v>
      </c>
      <c r="G190" t="s">
        <v>1806</v>
      </c>
      <c r="H190" t="s">
        <v>1817</v>
      </c>
    </row>
    <row r="191" spans="1:8" x14ac:dyDescent="0.25">
      <c r="A191" t="s">
        <v>287</v>
      </c>
      <c r="B191" t="s">
        <v>1071</v>
      </c>
      <c r="C191" t="s">
        <v>976</v>
      </c>
      <c r="D191" t="s">
        <v>900</v>
      </c>
      <c r="E191" t="s">
        <v>838</v>
      </c>
      <c r="F191" t="s">
        <v>837</v>
      </c>
      <c r="G191" t="s">
        <v>1810</v>
      </c>
      <c r="H191" t="s">
        <v>1817</v>
      </c>
    </row>
    <row r="192" spans="1:8" x14ac:dyDescent="0.25">
      <c r="A192" t="s">
        <v>288</v>
      </c>
      <c r="B192" t="s">
        <v>1073</v>
      </c>
      <c r="C192" t="s">
        <v>1072</v>
      </c>
      <c r="D192" t="s">
        <v>1002</v>
      </c>
      <c r="E192" t="s">
        <v>968</v>
      </c>
      <c r="F192" t="s">
        <v>862</v>
      </c>
      <c r="G192" t="s">
        <v>1806</v>
      </c>
      <c r="H192" t="s">
        <v>1817</v>
      </c>
    </row>
    <row r="193" spans="1:8" x14ac:dyDescent="0.25">
      <c r="A193" t="s">
        <v>289</v>
      </c>
      <c r="B193" t="s">
        <v>1073</v>
      </c>
      <c r="C193" t="s">
        <v>1072</v>
      </c>
      <c r="D193" t="s">
        <v>1002</v>
      </c>
      <c r="E193" t="s">
        <v>968</v>
      </c>
      <c r="F193" t="s">
        <v>862</v>
      </c>
      <c r="G193" t="s">
        <v>1806</v>
      </c>
      <c r="H193" t="s">
        <v>1817</v>
      </c>
    </row>
    <row r="194" spans="1:8" x14ac:dyDescent="0.25">
      <c r="A194" t="s">
        <v>290</v>
      </c>
      <c r="B194" t="s">
        <v>1074</v>
      </c>
      <c r="C194" t="s">
        <v>936</v>
      </c>
      <c r="D194" t="s">
        <v>884</v>
      </c>
      <c r="E194" t="s">
        <v>867</v>
      </c>
      <c r="F194" t="s">
        <v>849</v>
      </c>
      <c r="G194" t="s">
        <v>1806</v>
      </c>
      <c r="H194" t="s">
        <v>1817</v>
      </c>
    </row>
    <row r="195" spans="1:8" x14ac:dyDescent="0.25">
      <c r="A195" t="s">
        <v>291</v>
      </c>
      <c r="B195" t="s">
        <v>1077</v>
      </c>
      <c r="C195" t="s">
        <v>1076</v>
      </c>
      <c r="D195" t="s">
        <v>1075</v>
      </c>
      <c r="E195" t="s">
        <v>889</v>
      </c>
      <c r="F195" t="s">
        <v>862</v>
      </c>
      <c r="G195" t="s">
        <v>1806</v>
      </c>
      <c r="H195" t="s">
        <v>1817</v>
      </c>
    </row>
    <row r="196" spans="1:8" x14ac:dyDescent="0.25">
      <c r="A196" t="s">
        <v>292</v>
      </c>
      <c r="B196" t="s">
        <v>1079</v>
      </c>
      <c r="C196" t="s">
        <v>1078</v>
      </c>
      <c r="D196" t="s">
        <v>881</v>
      </c>
      <c r="E196" t="s">
        <v>880</v>
      </c>
      <c r="F196" t="s">
        <v>837</v>
      </c>
      <c r="G196" t="s">
        <v>1810</v>
      </c>
      <c r="H196" t="s">
        <v>1817</v>
      </c>
    </row>
    <row r="197" spans="1:8" x14ac:dyDescent="0.25">
      <c r="A197" t="s">
        <v>293</v>
      </c>
      <c r="B197" t="s">
        <v>1082</v>
      </c>
      <c r="C197" t="s">
        <v>1081</v>
      </c>
      <c r="D197" t="s">
        <v>1080</v>
      </c>
      <c r="E197" t="s">
        <v>923</v>
      </c>
      <c r="F197" t="s">
        <v>862</v>
      </c>
      <c r="G197" t="s">
        <v>1806</v>
      </c>
      <c r="H197" t="s">
        <v>1817</v>
      </c>
    </row>
    <row r="198" spans="1:8" x14ac:dyDescent="0.25">
      <c r="A198" t="s">
        <v>294</v>
      </c>
      <c r="B198" t="s">
        <v>1084</v>
      </c>
      <c r="C198" t="s">
        <v>1083</v>
      </c>
      <c r="D198" t="s">
        <v>1029</v>
      </c>
      <c r="E198" t="s">
        <v>867</v>
      </c>
      <c r="F198" t="s">
        <v>849</v>
      </c>
      <c r="G198" t="s">
        <v>1806</v>
      </c>
      <c r="H198" t="s">
        <v>1817</v>
      </c>
    </row>
    <row r="199" spans="1:8" x14ac:dyDescent="0.25">
      <c r="A199" t="s">
        <v>295</v>
      </c>
      <c r="B199" t="s">
        <v>1084</v>
      </c>
      <c r="C199" t="s">
        <v>1083</v>
      </c>
      <c r="D199" t="s">
        <v>1029</v>
      </c>
      <c r="E199" t="s">
        <v>867</v>
      </c>
      <c r="F199" t="s">
        <v>849</v>
      </c>
      <c r="G199" t="s">
        <v>1806</v>
      </c>
      <c r="H199" t="s">
        <v>1817</v>
      </c>
    </row>
    <row r="200" spans="1:8" x14ac:dyDescent="0.25">
      <c r="A200" t="s">
        <v>2358</v>
      </c>
      <c r="B200" t="s">
        <v>2359</v>
      </c>
      <c r="C200" t="s">
        <v>2360</v>
      </c>
      <c r="D200" t="s">
        <v>871</v>
      </c>
      <c r="E200" t="s">
        <v>867</v>
      </c>
      <c r="F200" t="s">
        <v>849</v>
      </c>
      <c r="G200" t="s">
        <v>1806</v>
      </c>
      <c r="H200" t="s">
        <v>1817</v>
      </c>
    </row>
    <row r="201" spans="1:8" x14ac:dyDescent="0.25">
      <c r="A201" t="s">
        <v>2361</v>
      </c>
      <c r="B201" t="s">
        <v>2362</v>
      </c>
      <c r="C201" t="s">
        <v>916</v>
      </c>
      <c r="D201" t="s">
        <v>915</v>
      </c>
      <c r="E201" t="s">
        <v>880</v>
      </c>
      <c r="F201" t="s">
        <v>837</v>
      </c>
      <c r="G201" t="s">
        <v>1810</v>
      </c>
      <c r="H201" t="s">
        <v>1817</v>
      </c>
    </row>
    <row r="202" spans="1:8" x14ac:dyDescent="0.25">
      <c r="A202" t="s">
        <v>2363</v>
      </c>
      <c r="B202" t="s">
        <v>2362</v>
      </c>
      <c r="C202" t="s">
        <v>916</v>
      </c>
      <c r="D202" t="s">
        <v>915</v>
      </c>
      <c r="E202" t="s">
        <v>880</v>
      </c>
      <c r="F202" t="s">
        <v>837</v>
      </c>
      <c r="G202" t="s">
        <v>1810</v>
      </c>
      <c r="H202" t="s">
        <v>1817</v>
      </c>
    </row>
    <row r="203" spans="1:8" x14ac:dyDescent="0.25">
      <c r="A203" t="s">
        <v>296</v>
      </c>
      <c r="B203" t="s">
        <v>1085</v>
      </c>
      <c r="C203" t="s">
        <v>882</v>
      </c>
      <c r="D203" t="s">
        <v>881</v>
      </c>
      <c r="E203" t="s">
        <v>880</v>
      </c>
      <c r="F203" t="s">
        <v>837</v>
      </c>
      <c r="G203" t="s">
        <v>1810</v>
      </c>
      <c r="H203" t="s">
        <v>1817</v>
      </c>
    </row>
    <row r="204" spans="1:8" x14ac:dyDescent="0.25">
      <c r="A204" t="s">
        <v>2364</v>
      </c>
      <c r="B204" t="s">
        <v>2365</v>
      </c>
      <c r="C204" t="s">
        <v>908</v>
      </c>
      <c r="D204" t="s">
        <v>907</v>
      </c>
      <c r="E204" t="s">
        <v>838</v>
      </c>
      <c r="F204" t="s">
        <v>837</v>
      </c>
      <c r="G204" t="s">
        <v>1810</v>
      </c>
      <c r="H204" t="s">
        <v>1817</v>
      </c>
    </row>
    <row r="205" spans="1:8" x14ac:dyDescent="0.25">
      <c r="A205" t="s">
        <v>297</v>
      </c>
      <c r="B205" t="s">
        <v>1087</v>
      </c>
      <c r="C205" t="s">
        <v>1086</v>
      </c>
      <c r="D205" t="s">
        <v>1029</v>
      </c>
      <c r="E205" t="s">
        <v>867</v>
      </c>
      <c r="F205" t="s">
        <v>849</v>
      </c>
      <c r="G205" t="s">
        <v>1806</v>
      </c>
      <c r="H205" t="s">
        <v>1817</v>
      </c>
    </row>
    <row r="206" spans="1:8" x14ac:dyDescent="0.25">
      <c r="A206" t="s">
        <v>298</v>
      </c>
      <c r="B206" t="s">
        <v>1088</v>
      </c>
      <c r="C206" t="s">
        <v>908</v>
      </c>
      <c r="D206" t="s">
        <v>907</v>
      </c>
      <c r="E206" t="s">
        <v>838</v>
      </c>
      <c r="F206" t="s">
        <v>837</v>
      </c>
      <c r="G206" t="s">
        <v>1810</v>
      </c>
      <c r="H206" t="s">
        <v>1817</v>
      </c>
    </row>
    <row r="207" spans="1:8" x14ac:dyDescent="0.25">
      <c r="A207" t="s">
        <v>299</v>
      </c>
      <c r="B207" t="s">
        <v>1090</v>
      </c>
      <c r="C207" t="s">
        <v>1089</v>
      </c>
      <c r="D207" t="s">
        <v>1080</v>
      </c>
      <c r="E207" t="s">
        <v>923</v>
      </c>
      <c r="F207" t="s">
        <v>862</v>
      </c>
      <c r="G207" t="s">
        <v>1806</v>
      </c>
      <c r="H207" t="s">
        <v>1817</v>
      </c>
    </row>
    <row r="208" spans="1:8" x14ac:dyDescent="0.25">
      <c r="A208" t="s">
        <v>300</v>
      </c>
      <c r="B208" t="s">
        <v>1098</v>
      </c>
      <c r="C208" t="s">
        <v>1097</v>
      </c>
      <c r="D208" t="s">
        <v>871</v>
      </c>
      <c r="E208" t="s">
        <v>867</v>
      </c>
      <c r="F208" t="s">
        <v>849</v>
      </c>
      <c r="G208" t="s">
        <v>1806</v>
      </c>
      <c r="H208" t="s">
        <v>1817</v>
      </c>
    </row>
    <row r="209" spans="1:8" x14ac:dyDescent="0.25">
      <c r="A209" t="s">
        <v>1100</v>
      </c>
      <c r="B209" t="s">
        <v>1099</v>
      </c>
      <c r="C209" t="s">
        <v>946</v>
      </c>
      <c r="D209" t="s">
        <v>868</v>
      </c>
      <c r="E209" t="s">
        <v>867</v>
      </c>
      <c r="F209" t="s">
        <v>849</v>
      </c>
      <c r="G209" t="s">
        <v>1806</v>
      </c>
      <c r="H209" t="s">
        <v>1820</v>
      </c>
    </row>
    <row r="210" spans="1:8" x14ac:dyDescent="0.25">
      <c r="A210" t="s">
        <v>301</v>
      </c>
      <c r="B210" t="s">
        <v>1099</v>
      </c>
      <c r="C210" t="s">
        <v>1843</v>
      </c>
      <c r="D210" t="s">
        <v>867</v>
      </c>
      <c r="E210" t="s">
        <v>868</v>
      </c>
      <c r="F210" t="s">
        <v>849</v>
      </c>
      <c r="G210" t="s">
        <v>1806</v>
      </c>
    </row>
    <row r="211" spans="1:8" x14ac:dyDescent="0.25">
      <c r="A211" t="s">
        <v>2366</v>
      </c>
      <c r="B211" t="s">
        <v>2367</v>
      </c>
      <c r="C211" t="s">
        <v>2368</v>
      </c>
      <c r="D211" t="s">
        <v>953</v>
      </c>
      <c r="E211" t="s">
        <v>838</v>
      </c>
      <c r="F211" t="s">
        <v>837</v>
      </c>
      <c r="G211" t="s">
        <v>1810</v>
      </c>
      <c r="H211" t="s">
        <v>1817</v>
      </c>
    </row>
    <row r="212" spans="1:8" x14ac:dyDescent="0.25">
      <c r="A212" t="s">
        <v>2369</v>
      </c>
      <c r="B212" t="s">
        <v>2370</v>
      </c>
      <c r="C212" t="s">
        <v>2371</v>
      </c>
      <c r="D212" t="s">
        <v>2372</v>
      </c>
      <c r="E212" t="s">
        <v>2320</v>
      </c>
      <c r="F212" t="s">
        <v>862</v>
      </c>
      <c r="G212" t="s">
        <v>1806</v>
      </c>
      <c r="H212" t="s">
        <v>1817</v>
      </c>
    </row>
    <row r="213" spans="1:8" x14ac:dyDescent="0.25">
      <c r="A213" t="s">
        <v>2373</v>
      </c>
      <c r="B213" t="s">
        <v>1770</v>
      </c>
      <c r="C213" t="s">
        <v>908</v>
      </c>
      <c r="D213" t="s">
        <v>907</v>
      </c>
      <c r="E213" t="s">
        <v>838</v>
      </c>
      <c r="F213" t="s">
        <v>837</v>
      </c>
      <c r="G213" t="s">
        <v>1810</v>
      </c>
      <c r="H213" t="s">
        <v>1817</v>
      </c>
    </row>
    <row r="214" spans="1:8" x14ac:dyDescent="0.25">
      <c r="A214" t="s">
        <v>302</v>
      </c>
      <c r="B214" t="s">
        <v>1770</v>
      </c>
      <c r="C214" t="s">
        <v>908</v>
      </c>
      <c r="D214" t="s">
        <v>838</v>
      </c>
      <c r="E214" t="s">
        <v>907</v>
      </c>
      <c r="F214" t="s">
        <v>837</v>
      </c>
      <c r="G214" t="s">
        <v>1810</v>
      </c>
    </row>
    <row r="215" spans="1:8" x14ac:dyDescent="0.25">
      <c r="A215" t="s">
        <v>2374</v>
      </c>
      <c r="B215" t="s">
        <v>1770</v>
      </c>
      <c r="C215" t="s">
        <v>908</v>
      </c>
      <c r="D215" t="s">
        <v>907</v>
      </c>
      <c r="E215" t="s">
        <v>838</v>
      </c>
      <c r="F215" t="s">
        <v>837</v>
      </c>
      <c r="G215" t="s">
        <v>1810</v>
      </c>
      <c r="H215" t="s">
        <v>1817</v>
      </c>
    </row>
    <row r="216" spans="1:8" x14ac:dyDescent="0.25">
      <c r="A216" t="s">
        <v>2375</v>
      </c>
      <c r="B216" t="s">
        <v>2376</v>
      </c>
      <c r="C216" t="s">
        <v>2377</v>
      </c>
      <c r="D216" t="s">
        <v>2378</v>
      </c>
      <c r="E216" t="s">
        <v>838</v>
      </c>
      <c r="F216" t="s">
        <v>837</v>
      </c>
      <c r="G216" t="s">
        <v>1810</v>
      </c>
      <c r="H216" t="s">
        <v>1817</v>
      </c>
    </row>
    <row r="217" spans="1:8" x14ac:dyDescent="0.25">
      <c r="A217" t="s">
        <v>303</v>
      </c>
      <c r="B217" t="s">
        <v>1102</v>
      </c>
      <c r="C217" t="s">
        <v>1101</v>
      </c>
      <c r="D217" t="s">
        <v>846</v>
      </c>
      <c r="E217" t="s">
        <v>838</v>
      </c>
      <c r="F217" t="s">
        <v>837</v>
      </c>
      <c r="G217" t="s">
        <v>1810</v>
      </c>
      <c r="H217" t="s">
        <v>1817</v>
      </c>
    </row>
    <row r="218" spans="1:8" x14ac:dyDescent="0.25">
      <c r="A218" t="s">
        <v>304</v>
      </c>
      <c r="B218" t="s">
        <v>1104</v>
      </c>
      <c r="C218" t="s">
        <v>1103</v>
      </c>
      <c r="D218" t="s">
        <v>854</v>
      </c>
      <c r="E218" t="s">
        <v>838</v>
      </c>
      <c r="F218" t="s">
        <v>837</v>
      </c>
      <c r="G218" t="s">
        <v>1810</v>
      </c>
      <c r="H218" t="s">
        <v>1817</v>
      </c>
    </row>
    <row r="219" spans="1:8" x14ac:dyDescent="0.25">
      <c r="A219" t="s">
        <v>305</v>
      </c>
      <c r="B219" t="s">
        <v>1104</v>
      </c>
      <c r="C219" t="s">
        <v>1103</v>
      </c>
      <c r="D219" t="s">
        <v>854</v>
      </c>
      <c r="E219" t="s">
        <v>838</v>
      </c>
      <c r="F219" t="s">
        <v>837</v>
      </c>
      <c r="G219" t="s">
        <v>1810</v>
      </c>
      <c r="H219" t="s">
        <v>1817</v>
      </c>
    </row>
    <row r="220" spans="1:8" x14ac:dyDescent="0.25">
      <c r="A220" t="s">
        <v>2379</v>
      </c>
      <c r="B220" t="s">
        <v>1104</v>
      </c>
      <c r="C220" t="s">
        <v>1103</v>
      </c>
      <c r="D220" t="s">
        <v>854</v>
      </c>
      <c r="E220" t="s">
        <v>838</v>
      </c>
      <c r="F220" t="s">
        <v>837</v>
      </c>
      <c r="G220" t="s">
        <v>1810</v>
      </c>
      <c r="H220" t="s">
        <v>1817</v>
      </c>
    </row>
    <row r="221" spans="1:8" x14ac:dyDescent="0.25">
      <c r="A221" t="s">
        <v>306</v>
      </c>
      <c r="B221" t="s">
        <v>1104</v>
      </c>
      <c r="C221" t="s">
        <v>1103</v>
      </c>
      <c r="D221" t="s">
        <v>854</v>
      </c>
      <c r="E221" t="s">
        <v>838</v>
      </c>
      <c r="F221" t="s">
        <v>837</v>
      </c>
      <c r="G221" t="s">
        <v>1810</v>
      </c>
      <c r="H221" t="s">
        <v>1817</v>
      </c>
    </row>
    <row r="222" spans="1:8" x14ac:dyDescent="0.25">
      <c r="A222" t="s">
        <v>307</v>
      </c>
      <c r="B222" t="s">
        <v>1106</v>
      </c>
      <c r="C222" t="s">
        <v>1105</v>
      </c>
      <c r="D222" t="s">
        <v>910</v>
      </c>
      <c r="E222" t="s">
        <v>889</v>
      </c>
      <c r="F222" t="s">
        <v>862</v>
      </c>
      <c r="G222" t="s">
        <v>1806</v>
      </c>
      <c r="H222" t="s">
        <v>1817</v>
      </c>
    </row>
    <row r="223" spans="1:8" x14ac:dyDescent="0.25">
      <c r="A223" t="s">
        <v>2380</v>
      </c>
      <c r="B223" t="s">
        <v>2381</v>
      </c>
      <c r="C223" t="s">
        <v>2382</v>
      </c>
      <c r="D223" t="s">
        <v>2383</v>
      </c>
      <c r="E223" t="s">
        <v>2384</v>
      </c>
      <c r="F223" t="s">
        <v>2385</v>
      </c>
      <c r="G223" t="s">
        <v>1807</v>
      </c>
      <c r="H223" t="s">
        <v>1817</v>
      </c>
    </row>
    <row r="224" spans="1:8" x14ac:dyDescent="0.25">
      <c r="A224" t="s">
        <v>2386</v>
      </c>
      <c r="B224" t="s">
        <v>2387</v>
      </c>
      <c r="C224" t="s">
        <v>2388</v>
      </c>
      <c r="D224" t="s">
        <v>1262</v>
      </c>
      <c r="E224" t="s">
        <v>1066</v>
      </c>
      <c r="F224" t="s">
        <v>1065</v>
      </c>
      <c r="G224" t="s">
        <v>1809</v>
      </c>
      <c r="H224" t="s">
        <v>1817</v>
      </c>
    </row>
    <row r="225" spans="1:8" x14ac:dyDescent="0.25">
      <c r="A225" t="s">
        <v>2389</v>
      </c>
      <c r="B225" t="s">
        <v>2390</v>
      </c>
      <c r="C225" t="s">
        <v>1610</v>
      </c>
      <c r="D225" t="s">
        <v>1609</v>
      </c>
      <c r="E225" t="s">
        <v>838</v>
      </c>
      <c r="F225" t="s">
        <v>837</v>
      </c>
      <c r="G225" t="s">
        <v>1810</v>
      </c>
      <c r="H225" t="s">
        <v>1817</v>
      </c>
    </row>
    <row r="226" spans="1:8" x14ac:dyDescent="0.25">
      <c r="A226" t="s">
        <v>308</v>
      </c>
      <c r="B226" t="s">
        <v>1109</v>
      </c>
      <c r="C226" t="s">
        <v>1108</v>
      </c>
      <c r="D226" t="s">
        <v>1107</v>
      </c>
      <c r="E226" t="s">
        <v>838</v>
      </c>
      <c r="F226" t="s">
        <v>837</v>
      </c>
      <c r="G226" t="s">
        <v>1810</v>
      </c>
      <c r="H226" t="s">
        <v>1817</v>
      </c>
    </row>
    <row r="227" spans="1:8" x14ac:dyDescent="0.25">
      <c r="A227" t="s">
        <v>2391</v>
      </c>
      <c r="B227" t="s">
        <v>2392</v>
      </c>
      <c r="C227" t="s">
        <v>2393</v>
      </c>
      <c r="D227" t="s">
        <v>859</v>
      </c>
      <c r="E227" t="s">
        <v>858</v>
      </c>
      <c r="F227" t="s">
        <v>857</v>
      </c>
      <c r="G227" t="s">
        <v>1806</v>
      </c>
      <c r="H227" t="s">
        <v>1817</v>
      </c>
    </row>
    <row r="228" spans="1:8" x14ac:dyDescent="0.25">
      <c r="A228" t="s">
        <v>309</v>
      </c>
      <c r="B228" t="s">
        <v>1110</v>
      </c>
      <c r="C228" t="s">
        <v>1097</v>
      </c>
      <c r="D228" t="s">
        <v>871</v>
      </c>
      <c r="E228" t="s">
        <v>867</v>
      </c>
      <c r="F228" t="s">
        <v>849</v>
      </c>
      <c r="G228" t="s">
        <v>1806</v>
      </c>
      <c r="H228" t="s">
        <v>1817</v>
      </c>
    </row>
    <row r="229" spans="1:8" x14ac:dyDescent="0.25">
      <c r="A229" t="s">
        <v>2394</v>
      </c>
      <c r="B229" t="s">
        <v>2395</v>
      </c>
      <c r="C229" t="s">
        <v>1201</v>
      </c>
      <c r="D229" t="s">
        <v>1200</v>
      </c>
      <c r="E229" t="s">
        <v>880</v>
      </c>
      <c r="F229" t="s">
        <v>837</v>
      </c>
      <c r="G229" t="s">
        <v>1810</v>
      </c>
      <c r="H229" t="s">
        <v>1817</v>
      </c>
    </row>
    <row r="230" spans="1:8" x14ac:dyDescent="0.25">
      <c r="A230" t="s">
        <v>2396</v>
      </c>
      <c r="B230" t="s">
        <v>2397</v>
      </c>
      <c r="C230" t="s">
        <v>2398</v>
      </c>
      <c r="D230" t="s">
        <v>1059</v>
      </c>
      <c r="E230" t="s">
        <v>1058</v>
      </c>
      <c r="F230" t="s">
        <v>1057</v>
      </c>
      <c r="G230" t="s">
        <v>1810</v>
      </c>
      <c r="H230" t="s">
        <v>1817</v>
      </c>
    </row>
    <row r="231" spans="1:8" x14ac:dyDescent="0.25">
      <c r="A231" t="s">
        <v>310</v>
      </c>
      <c r="B231" t="s">
        <v>1113</v>
      </c>
      <c r="C231" t="s">
        <v>1112</v>
      </c>
      <c r="D231" t="s">
        <v>1111</v>
      </c>
      <c r="E231" t="s">
        <v>880</v>
      </c>
      <c r="F231" t="s">
        <v>837</v>
      </c>
      <c r="G231" t="s">
        <v>1810</v>
      </c>
      <c r="H231" t="s">
        <v>1817</v>
      </c>
    </row>
    <row r="232" spans="1:8" x14ac:dyDescent="0.25">
      <c r="A232" t="s">
        <v>311</v>
      </c>
      <c r="B232" t="s">
        <v>1115</v>
      </c>
      <c r="C232" t="s">
        <v>1114</v>
      </c>
      <c r="D232" t="s">
        <v>963</v>
      </c>
      <c r="E232" t="s">
        <v>838</v>
      </c>
      <c r="F232" t="s">
        <v>837</v>
      </c>
      <c r="G232" t="s">
        <v>1810</v>
      </c>
      <c r="H232" t="s">
        <v>1817</v>
      </c>
    </row>
    <row r="233" spans="1:8" x14ac:dyDescent="0.25">
      <c r="A233" t="s">
        <v>312</v>
      </c>
      <c r="B233" t="s">
        <v>1118</v>
      </c>
      <c r="C233" t="s">
        <v>1117</v>
      </c>
      <c r="D233" t="s">
        <v>1116</v>
      </c>
      <c r="E233" t="s">
        <v>863</v>
      </c>
      <c r="F233" t="s">
        <v>862</v>
      </c>
      <c r="G233" t="s">
        <v>1806</v>
      </c>
      <c r="H233" t="s">
        <v>1817</v>
      </c>
    </row>
    <row r="234" spans="1:8" x14ac:dyDescent="0.25">
      <c r="A234" t="s">
        <v>313</v>
      </c>
      <c r="B234" t="s">
        <v>1771</v>
      </c>
      <c r="C234" t="s">
        <v>908</v>
      </c>
      <c r="D234" t="s">
        <v>838</v>
      </c>
      <c r="E234" t="s">
        <v>907</v>
      </c>
      <c r="F234" t="s">
        <v>837</v>
      </c>
      <c r="G234" t="s">
        <v>1810</v>
      </c>
    </row>
    <row r="235" spans="1:8" x14ac:dyDescent="0.25">
      <c r="A235" t="s">
        <v>314</v>
      </c>
      <c r="B235" t="s">
        <v>1120</v>
      </c>
      <c r="C235" t="s">
        <v>1119</v>
      </c>
      <c r="D235" t="s">
        <v>1075</v>
      </c>
      <c r="E235" t="s">
        <v>889</v>
      </c>
      <c r="F235" t="s">
        <v>862</v>
      </c>
      <c r="G235" t="s">
        <v>1806</v>
      </c>
      <c r="H235" t="s">
        <v>1817</v>
      </c>
    </row>
    <row r="236" spans="1:8" x14ac:dyDescent="0.25">
      <c r="A236" t="s">
        <v>315</v>
      </c>
      <c r="B236" t="s">
        <v>1123</v>
      </c>
      <c r="C236" t="s">
        <v>1122</v>
      </c>
      <c r="D236" t="s">
        <v>1121</v>
      </c>
      <c r="E236" t="s">
        <v>867</v>
      </c>
      <c r="F236" t="s">
        <v>849</v>
      </c>
      <c r="G236" t="s">
        <v>1806</v>
      </c>
      <c r="H236" t="s">
        <v>1817</v>
      </c>
    </row>
    <row r="237" spans="1:8" x14ac:dyDescent="0.25">
      <c r="A237" t="s">
        <v>316</v>
      </c>
      <c r="B237" t="s">
        <v>1127</v>
      </c>
      <c r="C237" t="s">
        <v>1126</v>
      </c>
      <c r="D237" t="s">
        <v>1125</v>
      </c>
      <c r="E237" t="s">
        <v>1124</v>
      </c>
      <c r="F237" t="s">
        <v>857</v>
      </c>
      <c r="G237" t="s">
        <v>1806</v>
      </c>
      <c r="H237" t="s">
        <v>1817</v>
      </c>
    </row>
    <row r="238" spans="1:8" x14ac:dyDescent="0.25">
      <c r="A238" t="s">
        <v>317</v>
      </c>
      <c r="B238" t="s">
        <v>1128</v>
      </c>
      <c r="C238" t="s">
        <v>908</v>
      </c>
      <c r="D238" t="s">
        <v>907</v>
      </c>
      <c r="E238" t="s">
        <v>838</v>
      </c>
      <c r="F238" t="s">
        <v>837</v>
      </c>
      <c r="G238" t="s">
        <v>1810</v>
      </c>
      <c r="H238" t="s">
        <v>1817</v>
      </c>
    </row>
    <row r="239" spans="1:8" x14ac:dyDescent="0.25">
      <c r="A239" t="s">
        <v>318</v>
      </c>
      <c r="B239" t="s">
        <v>1129</v>
      </c>
      <c r="C239" t="s">
        <v>916</v>
      </c>
      <c r="D239" t="s">
        <v>915</v>
      </c>
      <c r="E239" t="s">
        <v>880</v>
      </c>
      <c r="F239" t="s">
        <v>837</v>
      </c>
      <c r="G239" t="s">
        <v>1810</v>
      </c>
      <c r="H239" t="s">
        <v>1817</v>
      </c>
    </row>
    <row r="240" spans="1:8" x14ac:dyDescent="0.25">
      <c r="A240" t="s">
        <v>319</v>
      </c>
      <c r="B240" t="s">
        <v>1131</v>
      </c>
      <c r="C240" t="s">
        <v>1130</v>
      </c>
      <c r="D240" t="s">
        <v>864</v>
      </c>
      <c r="E240" t="s">
        <v>863</v>
      </c>
      <c r="F240" t="s">
        <v>862</v>
      </c>
      <c r="G240" t="s">
        <v>1806</v>
      </c>
      <c r="H240" t="s">
        <v>1817</v>
      </c>
    </row>
    <row r="241" spans="1:8" x14ac:dyDescent="0.25">
      <c r="A241" t="s">
        <v>320</v>
      </c>
      <c r="B241" t="s">
        <v>1133</v>
      </c>
      <c r="C241" t="s">
        <v>1132</v>
      </c>
      <c r="D241" t="s">
        <v>868</v>
      </c>
      <c r="E241" t="s">
        <v>867</v>
      </c>
      <c r="F241" t="s">
        <v>849</v>
      </c>
      <c r="G241" t="s">
        <v>1806</v>
      </c>
      <c r="H241" t="s">
        <v>1817</v>
      </c>
    </row>
    <row r="242" spans="1:8" x14ac:dyDescent="0.25">
      <c r="A242" t="s">
        <v>321</v>
      </c>
      <c r="B242" t="s">
        <v>1134</v>
      </c>
      <c r="C242" t="s">
        <v>1033</v>
      </c>
      <c r="D242" t="s">
        <v>884</v>
      </c>
      <c r="E242" t="s">
        <v>867</v>
      </c>
      <c r="F242" t="s">
        <v>849</v>
      </c>
      <c r="G242" t="s">
        <v>1806</v>
      </c>
      <c r="H242" t="s">
        <v>1817</v>
      </c>
    </row>
    <row r="243" spans="1:8" x14ac:dyDescent="0.25">
      <c r="A243" t="s">
        <v>322</v>
      </c>
      <c r="B243" t="s">
        <v>1135</v>
      </c>
      <c r="C243" t="s">
        <v>1015</v>
      </c>
      <c r="D243" t="s">
        <v>1014</v>
      </c>
      <c r="E243" t="s">
        <v>838</v>
      </c>
      <c r="F243" t="s">
        <v>837</v>
      </c>
      <c r="G243" t="s">
        <v>1810</v>
      </c>
      <c r="H243" t="s">
        <v>1817</v>
      </c>
    </row>
    <row r="244" spans="1:8" x14ac:dyDescent="0.25">
      <c r="A244" t="s">
        <v>323</v>
      </c>
      <c r="B244" t="s">
        <v>1772</v>
      </c>
      <c r="C244" t="s">
        <v>929</v>
      </c>
      <c r="D244" t="s">
        <v>867</v>
      </c>
      <c r="E244" t="s">
        <v>928</v>
      </c>
      <c r="F244" t="s">
        <v>849</v>
      </c>
      <c r="G244" t="s">
        <v>1806</v>
      </c>
    </row>
    <row r="245" spans="1:8" x14ac:dyDescent="0.25">
      <c r="A245" t="s">
        <v>2399</v>
      </c>
      <c r="B245" t="s">
        <v>2400</v>
      </c>
      <c r="C245" t="s">
        <v>2401</v>
      </c>
      <c r="D245" t="s">
        <v>2402</v>
      </c>
      <c r="E245" t="s">
        <v>858</v>
      </c>
      <c r="F245" t="s">
        <v>857</v>
      </c>
      <c r="G245" t="s">
        <v>1806</v>
      </c>
      <c r="H245" t="s">
        <v>1817</v>
      </c>
    </row>
    <row r="246" spans="1:8" x14ac:dyDescent="0.25">
      <c r="A246" t="s">
        <v>324</v>
      </c>
      <c r="B246" t="s">
        <v>1136</v>
      </c>
      <c r="C246" t="s">
        <v>1078</v>
      </c>
      <c r="D246" t="s">
        <v>881</v>
      </c>
      <c r="E246" t="s">
        <v>880</v>
      </c>
      <c r="F246" t="s">
        <v>837</v>
      </c>
      <c r="G246" t="s">
        <v>1810</v>
      </c>
      <c r="H246" t="s">
        <v>1817</v>
      </c>
    </row>
    <row r="247" spans="1:8" x14ac:dyDescent="0.25">
      <c r="A247" t="s">
        <v>2403</v>
      </c>
      <c r="B247" t="s">
        <v>2404</v>
      </c>
      <c r="C247" t="s">
        <v>2405</v>
      </c>
      <c r="D247" t="s">
        <v>980</v>
      </c>
      <c r="E247" t="s">
        <v>979</v>
      </c>
      <c r="F247" t="s">
        <v>978</v>
      </c>
      <c r="G247" t="s">
        <v>1809</v>
      </c>
      <c r="H247" t="s">
        <v>1817</v>
      </c>
    </row>
    <row r="248" spans="1:8" x14ac:dyDescent="0.25">
      <c r="A248" t="s">
        <v>2406</v>
      </c>
      <c r="B248" t="s">
        <v>2407</v>
      </c>
      <c r="C248" t="s">
        <v>2408</v>
      </c>
      <c r="D248" t="s">
        <v>1541</v>
      </c>
      <c r="E248" t="s">
        <v>1066</v>
      </c>
      <c r="F248" t="s">
        <v>1065</v>
      </c>
      <c r="G248" t="s">
        <v>1809</v>
      </c>
      <c r="H248" t="s">
        <v>1817</v>
      </c>
    </row>
    <row r="249" spans="1:8" x14ac:dyDescent="0.25">
      <c r="A249" t="s">
        <v>325</v>
      </c>
      <c r="B249" t="s">
        <v>1137</v>
      </c>
      <c r="C249" t="s">
        <v>954</v>
      </c>
      <c r="D249" t="s">
        <v>953</v>
      </c>
      <c r="E249" t="s">
        <v>838</v>
      </c>
      <c r="F249" t="s">
        <v>837</v>
      </c>
      <c r="G249" t="s">
        <v>1810</v>
      </c>
      <c r="H249" t="s">
        <v>1817</v>
      </c>
    </row>
    <row r="250" spans="1:8" x14ac:dyDescent="0.25">
      <c r="A250" t="s">
        <v>326</v>
      </c>
      <c r="B250" t="s">
        <v>1139</v>
      </c>
      <c r="C250" t="s">
        <v>1138</v>
      </c>
      <c r="D250" t="s">
        <v>1121</v>
      </c>
      <c r="E250" t="s">
        <v>867</v>
      </c>
      <c r="F250" t="s">
        <v>849</v>
      </c>
      <c r="G250" t="s">
        <v>1806</v>
      </c>
      <c r="H250" t="s">
        <v>1817</v>
      </c>
    </row>
    <row r="251" spans="1:8" x14ac:dyDescent="0.25">
      <c r="A251" t="s">
        <v>327</v>
      </c>
      <c r="B251" t="s">
        <v>1773</v>
      </c>
      <c r="C251" t="s">
        <v>872</v>
      </c>
      <c r="D251" t="s">
        <v>867</v>
      </c>
      <c r="E251" t="s">
        <v>871</v>
      </c>
      <c r="F251" t="s">
        <v>849</v>
      </c>
      <c r="G251" t="s">
        <v>1806</v>
      </c>
    </row>
    <row r="252" spans="1:8" x14ac:dyDescent="0.25">
      <c r="A252" t="s">
        <v>328</v>
      </c>
      <c r="B252" t="s">
        <v>1141</v>
      </c>
      <c r="C252" t="s">
        <v>1140</v>
      </c>
      <c r="D252" t="s">
        <v>871</v>
      </c>
      <c r="E252" t="s">
        <v>867</v>
      </c>
      <c r="F252" t="s">
        <v>849</v>
      </c>
      <c r="G252" t="s">
        <v>1806</v>
      </c>
      <c r="H252" t="s">
        <v>1817</v>
      </c>
    </row>
    <row r="253" spans="1:8" x14ac:dyDescent="0.25">
      <c r="A253" t="s">
        <v>329</v>
      </c>
      <c r="B253" t="s">
        <v>1145</v>
      </c>
      <c r="C253" t="s">
        <v>1144</v>
      </c>
      <c r="D253" t="s">
        <v>1143</v>
      </c>
      <c r="E253" t="s">
        <v>1142</v>
      </c>
      <c r="F253" t="s">
        <v>837</v>
      </c>
      <c r="G253" t="s">
        <v>1810</v>
      </c>
      <c r="H253" t="s">
        <v>1817</v>
      </c>
    </row>
    <row r="254" spans="1:8" x14ac:dyDescent="0.25">
      <c r="A254" t="s">
        <v>2409</v>
      </c>
      <c r="B254" t="s">
        <v>2410</v>
      </c>
      <c r="C254" t="s">
        <v>908</v>
      </c>
      <c r="D254" t="s">
        <v>907</v>
      </c>
      <c r="E254" t="s">
        <v>838</v>
      </c>
      <c r="F254" t="s">
        <v>837</v>
      </c>
      <c r="G254" t="s">
        <v>1810</v>
      </c>
      <c r="H254" t="s">
        <v>1817</v>
      </c>
    </row>
    <row r="255" spans="1:8" x14ac:dyDescent="0.25">
      <c r="A255" t="s">
        <v>330</v>
      </c>
      <c r="B255" t="s">
        <v>1146</v>
      </c>
      <c r="C255" t="s">
        <v>1083</v>
      </c>
      <c r="D255" t="s">
        <v>1029</v>
      </c>
      <c r="E255" t="s">
        <v>867</v>
      </c>
      <c r="F255" t="s">
        <v>849</v>
      </c>
      <c r="G255" t="s">
        <v>1806</v>
      </c>
      <c r="H255" t="s">
        <v>1817</v>
      </c>
    </row>
    <row r="256" spans="1:8" x14ac:dyDescent="0.25">
      <c r="A256" t="s">
        <v>331</v>
      </c>
      <c r="B256" t="s">
        <v>1147</v>
      </c>
      <c r="C256" t="s">
        <v>1086</v>
      </c>
      <c r="D256" t="s">
        <v>1029</v>
      </c>
      <c r="E256" t="s">
        <v>867</v>
      </c>
      <c r="F256" t="s">
        <v>849</v>
      </c>
      <c r="G256" t="s">
        <v>1806</v>
      </c>
      <c r="H256" t="s">
        <v>1817</v>
      </c>
    </row>
    <row r="257" spans="1:8" x14ac:dyDescent="0.25">
      <c r="A257" t="s">
        <v>332</v>
      </c>
      <c r="B257" t="s">
        <v>1148</v>
      </c>
      <c r="C257" t="s">
        <v>898</v>
      </c>
      <c r="D257" t="s">
        <v>897</v>
      </c>
      <c r="E257" t="s">
        <v>863</v>
      </c>
      <c r="F257" t="s">
        <v>862</v>
      </c>
      <c r="G257" t="s">
        <v>1806</v>
      </c>
      <c r="H257" t="s">
        <v>1817</v>
      </c>
    </row>
    <row r="258" spans="1:8" x14ac:dyDescent="0.25">
      <c r="A258" t="s">
        <v>333</v>
      </c>
      <c r="B258" t="s">
        <v>1148</v>
      </c>
      <c r="C258" t="s">
        <v>898</v>
      </c>
      <c r="D258" t="s">
        <v>897</v>
      </c>
      <c r="E258" t="s">
        <v>863</v>
      </c>
      <c r="F258" t="s">
        <v>862</v>
      </c>
      <c r="G258" t="s">
        <v>1806</v>
      </c>
      <c r="H258" t="s">
        <v>1817</v>
      </c>
    </row>
    <row r="259" spans="1:8" x14ac:dyDescent="0.25">
      <c r="A259" t="s">
        <v>334</v>
      </c>
      <c r="B259" t="s">
        <v>1150</v>
      </c>
      <c r="C259" t="s">
        <v>1149</v>
      </c>
      <c r="D259" t="s">
        <v>884</v>
      </c>
      <c r="E259" t="s">
        <v>867</v>
      </c>
      <c r="F259" t="s">
        <v>849</v>
      </c>
      <c r="G259" t="s">
        <v>1806</v>
      </c>
      <c r="H259" t="s">
        <v>1817</v>
      </c>
    </row>
    <row r="260" spans="1:8" x14ac:dyDescent="0.25">
      <c r="A260" t="s">
        <v>335</v>
      </c>
      <c r="B260" t="s">
        <v>1151</v>
      </c>
      <c r="C260" t="s">
        <v>976</v>
      </c>
      <c r="D260" t="s">
        <v>900</v>
      </c>
      <c r="E260" t="s">
        <v>838</v>
      </c>
      <c r="F260" t="s">
        <v>837</v>
      </c>
      <c r="G260" t="s">
        <v>1810</v>
      </c>
      <c r="H260" t="s">
        <v>1817</v>
      </c>
    </row>
    <row r="261" spans="1:8" x14ac:dyDescent="0.25">
      <c r="A261" t="s">
        <v>336</v>
      </c>
      <c r="B261" t="s">
        <v>1151</v>
      </c>
      <c r="C261" t="s">
        <v>976</v>
      </c>
      <c r="D261" t="s">
        <v>900</v>
      </c>
      <c r="E261" t="s">
        <v>838</v>
      </c>
      <c r="F261" t="s">
        <v>837</v>
      </c>
      <c r="G261" t="s">
        <v>1810</v>
      </c>
      <c r="H261" t="s">
        <v>1817</v>
      </c>
    </row>
    <row r="262" spans="1:8" x14ac:dyDescent="0.25">
      <c r="A262" t="s">
        <v>337</v>
      </c>
      <c r="B262" t="s">
        <v>1151</v>
      </c>
      <c r="C262" t="s">
        <v>976</v>
      </c>
      <c r="D262" t="s">
        <v>900</v>
      </c>
      <c r="E262" t="s">
        <v>838</v>
      </c>
      <c r="F262" t="s">
        <v>837</v>
      </c>
      <c r="G262" t="s">
        <v>1810</v>
      </c>
      <c r="H262" t="s">
        <v>1817</v>
      </c>
    </row>
    <row r="263" spans="1:8" x14ac:dyDescent="0.25">
      <c r="A263" t="s">
        <v>338</v>
      </c>
      <c r="B263" t="s">
        <v>1151</v>
      </c>
      <c r="C263" t="s">
        <v>976</v>
      </c>
      <c r="D263" t="s">
        <v>900</v>
      </c>
      <c r="E263" t="s">
        <v>838</v>
      </c>
      <c r="F263" t="s">
        <v>837</v>
      </c>
      <c r="G263" t="s">
        <v>1810</v>
      </c>
      <c r="H263" t="s">
        <v>1817</v>
      </c>
    </row>
    <row r="264" spans="1:8" x14ac:dyDescent="0.25">
      <c r="A264" t="s">
        <v>339</v>
      </c>
      <c r="B264" t="s">
        <v>1152</v>
      </c>
      <c r="C264" t="s">
        <v>916</v>
      </c>
      <c r="D264" t="s">
        <v>915</v>
      </c>
      <c r="E264" t="s">
        <v>880</v>
      </c>
      <c r="F264" t="s">
        <v>837</v>
      </c>
      <c r="G264" t="s">
        <v>1810</v>
      </c>
      <c r="H264" t="s">
        <v>1817</v>
      </c>
    </row>
    <row r="265" spans="1:8" x14ac:dyDescent="0.25">
      <c r="A265" t="s">
        <v>340</v>
      </c>
      <c r="B265" t="s">
        <v>1154</v>
      </c>
      <c r="C265" t="s">
        <v>1153</v>
      </c>
      <c r="D265" t="s">
        <v>915</v>
      </c>
      <c r="E265" t="s">
        <v>880</v>
      </c>
      <c r="F265" t="s">
        <v>837</v>
      </c>
      <c r="G265" t="s">
        <v>1810</v>
      </c>
      <c r="H265" t="s">
        <v>1817</v>
      </c>
    </row>
    <row r="266" spans="1:8" x14ac:dyDescent="0.25">
      <c r="A266" t="s">
        <v>2411</v>
      </c>
      <c r="B266" t="s">
        <v>1154</v>
      </c>
      <c r="C266" t="s">
        <v>1153</v>
      </c>
      <c r="D266" t="s">
        <v>915</v>
      </c>
      <c r="E266" t="s">
        <v>880</v>
      </c>
      <c r="F266" t="s">
        <v>837</v>
      </c>
      <c r="G266" t="s">
        <v>1810</v>
      </c>
      <c r="H266" t="s">
        <v>1817</v>
      </c>
    </row>
    <row r="267" spans="1:8" x14ac:dyDescent="0.25">
      <c r="A267" t="s">
        <v>341</v>
      </c>
      <c r="B267" t="s">
        <v>1155</v>
      </c>
      <c r="C267" t="s">
        <v>891</v>
      </c>
      <c r="D267" t="s">
        <v>890</v>
      </c>
      <c r="E267" t="s">
        <v>889</v>
      </c>
      <c r="F267" t="s">
        <v>862</v>
      </c>
      <c r="G267" t="s">
        <v>1806</v>
      </c>
      <c r="H267" t="s">
        <v>1817</v>
      </c>
    </row>
    <row r="268" spans="1:8" x14ac:dyDescent="0.25">
      <c r="A268" t="s">
        <v>2412</v>
      </c>
      <c r="B268" t="s">
        <v>2413</v>
      </c>
      <c r="C268" t="s">
        <v>843</v>
      </c>
      <c r="D268" t="s">
        <v>842</v>
      </c>
      <c r="E268" t="s">
        <v>838</v>
      </c>
      <c r="F268" t="s">
        <v>837</v>
      </c>
      <c r="G268" t="s">
        <v>1810</v>
      </c>
      <c r="H268" t="s">
        <v>1817</v>
      </c>
    </row>
    <row r="269" spans="1:8" x14ac:dyDescent="0.25">
      <c r="A269" t="s">
        <v>342</v>
      </c>
      <c r="B269" t="s">
        <v>1157</v>
      </c>
      <c r="C269" t="s">
        <v>1156</v>
      </c>
      <c r="D269" t="s">
        <v>868</v>
      </c>
      <c r="E269" t="s">
        <v>867</v>
      </c>
      <c r="F269" t="s">
        <v>849</v>
      </c>
      <c r="G269" t="s">
        <v>1806</v>
      </c>
      <c r="H269" t="s">
        <v>1817</v>
      </c>
    </row>
    <row r="270" spans="1:8" x14ac:dyDescent="0.25">
      <c r="A270" t="s">
        <v>343</v>
      </c>
      <c r="B270" t="s">
        <v>1159</v>
      </c>
      <c r="C270" t="s">
        <v>1158</v>
      </c>
      <c r="D270" t="s">
        <v>868</v>
      </c>
      <c r="E270" t="s">
        <v>867</v>
      </c>
      <c r="F270" t="s">
        <v>849</v>
      </c>
      <c r="G270" t="s">
        <v>1806</v>
      </c>
      <c r="H270" t="s">
        <v>1817</v>
      </c>
    </row>
    <row r="271" spans="1:8" x14ac:dyDescent="0.25">
      <c r="A271" t="s">
        <v>344</v>
      </c>
      <c r="B271" t="s">
        <v>1160</v>
      </c>
      <c r="C271" t="s">
        <v>1072</v>
      </c>
      <c r="D271" t="s">
        <v>1002</v>
      </c>
      <c r="E271" t="s">
        <v>968</v>
      </c>
      <c r="F271" t="s">
        <v>862</v>
      </c>
      <c r="G271" t="s">
        <v>1806</v>
      </c>
      <c r="H271" t="s">
        <v>1817</v>
      </c>
    </row>
    <row r="272" spans="1:8" x14ac:dyDescent="0.25">
      <c r="A272" t="s">
        <v>345</v>
      </c>
      <c r="B272" t="s">
        <v>1161</v>
      </c>
      <c r="C272" t="s">
        <v>891</v>
      </c>
      <c r="D272" t="s">
        <v>890</v>
      </c>
      <c r="E272" t="s">
        <v>889</v>
      </c>
      <c r="F272" t="s">
        <v>862</v>
      </c>
      <c r="G272" t="s">
        <v>1806</v>
      </c>
      <c r="H272" t="s">
        <v>1817</v>
      </c>
    </row>
    <row r="273" spans="1:8" x14ac:dyDescent="0.25">
      <c r="A273" t="s">
        <v>346</v>
      </c>
      <c r="B273" t="s">
        <v>1774</v>
      </c>
      <c r="C273" t="s">
        <v>1844</v>
      </c>
      <c r="D273" t="s">
        <v>867</v>
      </c>
      <c r="E273" t="s">
        <v>871</v>
      </c>
      <c r="F273" t="s">
        <v>849</v>
      </c>
      <c r="G273" t="s">
        <v>1806</v>
      </c>
    </row>
    <row r="274" spans="1:8" x14ac:dyDescent="0.25">
      <c r="A274" t="s">
        <v>347</v>
      </c>
      <c r="B274" t="s">
        <v>1162</v>
      </c>
      <c r="C274" t="s">
        <v>936</v>
      </c>
      <c r="D274" t="s">
        <v>884</v>
      </c>
      <c r="E274" t="s">
        <v>867</v>
      </c>
      <c r="F274" t="s">
        <v>849</v>
      </c>
      <c r="G274" t="s">
        <v>1806</v>
      </c>
      <c r="H274" t="s">
        <v>1819</v>
      </c>
    </row>
    <row r="275" spans="1:8" x14ac:dyDescent="0.25">
      <c r="A275" t="s">
        <v>348</v>
      </c>
      <c r="B275" t="s">
        <v>1162</v>
      </c>
      <c r="C275" t="s">
        <v>936</v>
      </c>
      <c r="D275" t="s">
        <v>884</v>
      </c>
      <c r="E275" t="s">
        <v>867</v>
      </c>
      <c r="F275" t="s">
        <v>849</v>
      </c>
      <c r="G275" t="s">
        <v>1806</v>
      </c>
      <c r="H275" t="s">
        <v>1819</v>
      </c>
    </row>
    <row r="276" spans="1:8" x14ac:dyDescent="0.25">
      <c r="A276" t="s">
        <v>349</v>
      </c>
      <c r="B276" t="s">
        <v>1163</v>
      </c>
      <c r="C276" t="s">
        <v>1011</v>
      </c>
      <c r="D276" t="s">
        <v>884</v>
      </c>
      <c r="E276" t="s">
        <v>867</v>
      </c>
      <c r="F276" t="s">
        <v>849</v>
      </c>
      <c r="G276" t="s">
        <v>1806</v>
      </c>
      <c r="H276" t="s">
        <v>1817</v>
      </c>
    </row>
    <row r="277" spans="1:8" x14ac:dyDescent="0.25">
      <c r="A277" t="s">
        <v>350</v>
      </c>
      <c r="B277" t="s">
        <v>1163</v>
      </c>
      <c r="C277" t="s">
        <v>1011</v>
      </c>
      <c r="D277" t="s">
        <v>884</v>
      </c>
      <c r="E277" t="s">
        <v>867</v>
      </c>
      <c r="F277" t="s">
        <v>849</v>
      </c>
      <c r="G277" t="s">
        <v>1806</v>
      </c>
      <c r="H277" t="s">
        <v>1817</v>
      </c>
    </row>
    <row r="278" spans="1:8" x14ac:dyDescent="0.25">
      <c r="A278" t="s">
        <v>351</v>
      </c>
      <c r="B278" t="s">
        <v>1163</v>
      </c>
      <c r="C278" t="s">
        <v>1011</v>
      </c>
      <c r="D278" t="s">
        <v>884</v>
      </c>
      <c r="E278" t="s">
        <v>867</v>
      </c>
      <c r="F278" t="s">
        <v>849</v>
      </c>
      <c r="G278" t="s">
        <v>1806</v>
      </c>
      <c r="H278" t="s">
        <v>1817</v>
      </c>
    </row>
    <row r="279" spans="1:8" x14ac:dyDescent="0.25">
      <c r="A279" t="s">
        <v>352</v>
      </c>
      <c r="B279" t="s">
        <v>1775</v>
      </c>
      <c r="C279" t="s">
        <v>936</v>
      </c>
      <c r="D279" t="s">
        <v>867</v>
      </c>
      <c r="E279" t="s">
        <v>884</v>
      </c>
      <c r="F279" t="s">
        <v>849</v>
      </c>
      <c r="G279" t="s">
        <v>1806</v>
      </c>
    </row>
    <row r="280" spans="1:8" x14ac:dyDescent="0.25">
      <c r="A280" t="s">
        <v>353</v>
      </c>
      <c r="B280" t="s">
        <v>1165</v>
      </c>
      <c r="C280" t="s">
        <v>1164</v>
      </c>
      <c r="D280" t="s">
        <v>868</v>
      </c>
      <c r="E280" t="s">
        <v>867</v>
      </c>
      <c r="F280" t="s">
        <v>849</v>
      </c>
      <c r="G280" t="s">
        <v>1806</v>
      </c>
      <c r="H280" t="s">
        <v>1817</v>
      </c>
    </row>
    <row r="281" spans="1:8" x14ac:dyDescent="0.25">
      <c r="A281" t="s">
        <v>2414</v>
      </c>
      <c r="B281" t="s">
        <v>2415</v>
      </c>
      <c r="C281" t="s">
        <v>2269</v>
      </c>
      <c r="D281" t="s">
        <v>1609</v>
      </c>
      <c r="E281" t="s">
        <v>838</v>
      </c>
      <c r="F281" t="s">
        <v>837</v>
      </c>
      <c r="G281" t="s">
        <v>1810</v>
      </c>
      <c r="H281" t="s">
        <v>1817</v>
      </c>
    </row>
    <row r="282" spans="1:8" x14ac:dyDescent="0.25">
      <c r="A282" t="s">
        <v>354</v>
      </c>
      <c r="B282" t="s">
        <v>1166</v>
      </c>
      <c r="C282" t="s">
        <v>843</v>
      </c>
      <c r="D282" t="s">
        <v>842</v>
      </c>
      <c r="E282" t="s">
        <v>838</v>
      </c>
      <c r="F282" t="s">
        <v>837</v>
      </c>
      <c r="G282" t="s">
        <v>1810</v>
      </c>
      <c r="H282" t="s">
        <v>1817</v>
      </c>
    </row>
    <row r="283" spans="1:8" x14ac:dyDescent="0.25">
      <c r="A283" t="s">
        <v>2416</v>
      </c>
      <c r="B283" t="s">
        <v>2417</v>
      </c>
      <c r="C283" t="s">
        <v>2418</v>
      </c>
      <c r="D283" t="s">
        <v>2419</v>
      </c>
      <c r="E283" t="s">
        <v>2420</v>
      </c>
      <c r="F283" t="s">
        <v>849</v>
      </c>
      <c r="G283" t="s">
        <v>1806</v>
      </c>
      <c r="H283" t="s">
        <v>1817</v>
      </c>
    </row>
    <row r="284" spans="1:8" x14ac:dyDescent="0.25">
      <c r="A284" t="s">
        <v>2421</v>
      </c>
      <c r="B284" t="s">
        <v>2422</v>
      </c>
      <c r="C284" t="s">
        <v>2423</v>
      </c>
      <c r="D284" t="s">
        <v>2424</v>
      </c>
      <c r="E284" t="s">
        <v>2320</v>
      </c>
      <c r="F284" t="s">
        <v>862</v>
      </c>
      <c r="G284" t="s">
        <v>1806</v>
      </c>
      <c r="H284" t="s">
        <v>1817</v>
      </c>
    </row>
    <row r="285" spans="1:8" x14ac:dyDescent="0.25">
      <c r="A285" t="s">
        <v>355</v>
      </c>
      <c r="B285" t="s">
        <v>1171</v>
      </c>
      <c r="C285" t="s">
        <v>1170</v>
      </c>
      <c r="D285" t="s">
        <v>1169</v>
      </c>
      <c r="E285" t="s">
        <v>1168</v>
      </c>
      <c r="F285" t="s">
        <v>1167</v>
      </c>
      <c r="G285" t="s">
        <v>1808</v>
      </c>
      <c r="H285" t="s">
        <v>1817</v>
      </c>
    </row>
    <row r="286" spans="1:8" x14ac:dyDescent="0.25">
      <c r="A286" t="s">
        <v>2425</v>
      </c>
      <c r="B286" t="s">
        <v>2426</v>
      </c>
      <c r="C286" t="s">
        <v>2427</v>
      </c>
      <c r="D286" t="s">
        <v>2428</v>
      </c>
      <c r="E286" t="s">
        <v>1035</v>
      </c>
      <c r="F286" t="s">
        <v>849</v>
      </c>
      <c r="G286" t="s">
        <v>1806</v>
      </c>
      <c r="H286" t="s">
        <v>1817</v>
      </c>
    </row>
    <row r="287" spans="1:8" x14ac:dyDescent="0.25">
      <c r="A287" t="s">
        <v>356</v>
      </c>
      <c r="B287" t="s">
        <v>1174</v>
      </c>
      <c r="C287" t="s">
        <v>1173</v>
      </c>
      <c r="D287" t="s">
        <v>1172</v>
      </c>
      <c r="E287" t="s">
        <v>880</v>
      </c>
      <c r="F287" t="s">
        <v>837</v>
      </c>
      <c r="G287" t="s">
        <v>1810</v>
      </c>
      <c r="H287" t="s">
        <v>1817</v>
      </c>
    </row>
    <row r="288" spans="1:8" x14ac:dyDescent="0.25">
      <c r="A288" t="s">
        <v>357</v>
      </c>
      <c r="B288" t="s">
        <v>1177</v>
      </c>
      <c r="C288" t="s">
        <v>1176</v>
      </c>
      <c r="D288" t="s">
        <v>1175</v>
      </c>
      <c r="E288" t="s">
        <v>838</v>
      </c>
      <c r="F288" t="s">
        <v>837</v>
      </c>
      <c r="G288" t="s">
        <v>1810</v>
      </c>
      <c r="H288" t="s">
        <v>1817</v>
      </c>
    </row>
    <row r="289" spans="1:8" x14ac:dyDescent="0.25">
      <c r="A289" t="s">
        <v>358</v>
      </c>
      <c r="B289" t="s">
        <v>1776</v>
      </c>
      <c r="C289" t="s">
        <v>1845</v>
      </c>
      <c r="D289" t="s">
        <v>1846</v>
      </c>
      <c r="E289" t="s">
        <v>924</v>
      </c>
      <c r="F289" t="s">
        <v>862</v>
      </c>
      <c r="G289" t="s">
        <v>1806</v>
      </c>
    </row>
    <row r="290" spans="1:8" x14ac:dyDescent="0.25">
      <c r="A290" t="s">
        <v>2429</v>
      </c>
      <c r="B290" t="s">
        <v>2430</v>
      </c>
      <c r="C290" t="s">
        <v>1854</v>
      </c>
      <c r="D290" t="s">
        <v>1855</v>
      </c>
      <c r="E290" t="s">
        <v>838</v>
      </c>
      <c r="F290" t="s">
        <v>837</v>
      </c>
      <c r="G290" t="s">
        <v>1810</v>
      </c>
      <c r="H290" t="s">
        <v>1817</v>
      </c>
    </row>
    <row r="291" spans="1:8" x14ac:dyDescent="0.25">
      <c r="A291" t="s">
        <v>359</v>
      </c>
      <c r="B291" t="s">
        <v>1777</v>
      </c>
      <c r="C291" t="s">
        <v>1050</v>
      </c>
      <c r="D291" t="s">
        <v>838</v>
      </c>
      <c r="E291" t="s">
        <v>900</v>
      </c>
      <c r="F291" t="s">
        <v>837</v>
      </c>
      <c r="G291" t="s">
        <v>1810</v>
      </c>
    </row>
    <row r="292" spans="1:8" x14ac:dyDescent="0.25">
      <c r="A292" t="s">
        <v>2431</v>
      </c>
      <c r="B292" t="s">
        <v>2432</v>
      </c>
      <c r="C292" t="s">
        <v>908</v>
      </c>
      <c r="D292" t="s">
        <v>907</v>
      </c>
      <c r="E292" t="s">
        <v>838</v>
      </c>
      <c r="F292" t="s">
        <v>837</v>
      </c>
      <c r="G292" t="s">
        <v>1810</v>
      </c>
      <c r="H292" t="s">
        <v>1817</v>
      </c>
    </row>
    <row r="293" spans="1:8" x14ac:dyDescent="0.25">
      <c r="A293" t="s">
        <v>360</v>
      </c>
      <c r="B293" t="s">
        <v>1180</v>
      </c>
      <c r="C293" t="s">
        <v>1179</v>
      </c>
      <c r="D293" t="s">
        <v>1178</v>
      </c>
      <c r="E293" t="s">
        <v>919</v>
      </c>
      <c r="F293" t="s">
        <v>918</v>
      </c>
      <c r="G293" t="s">
        <v>1806</v>
      </c>
      <c r="H293" t="s">
        <v>1817</v>
      </c>
    </row>
    <row r="294" spans="1:8" x14ac:dyDescent="0.25">
      <c r="A294" t="s">
        <v>361</v>
      </c>
      <c r="B294" t="s">
        <v>1181</v>
      </c>
      <c r="C294" t="s">
        <v>946</v>
      </c>
      <c r="D294" t="s">
        <v>868</v>
      </c>
      <c r="E294" t="s">
        <v>867</v>
      </c>
      <c r="F294" t="s">
        <v>849</v>
      </c>
      <c r="G294" t="s">
        <v>1806</v>
      </c>
      <c r="H294" t="s">
        <v>1817</v>
      </c>
    </row>
    <row r="295" spans="1:8" x14ac:dyDescent="0.25">
      <c r="A295" t="s">
        <v>148</v>
      </c>
      <c r="B295" t="s">
        <v>148</v>
      </c>
      <c r="C295" t="s">
        <v>148</v>
      </c>
      <c r="D295" t="s">
        <v>148</v>
      </c>
      <c r="E295" t="s">
        <v>148</v>
      </c>
      <c r="F295" t="s">
        <v>148</v>
      </c>
      <c r="G295" t="s">
        <v>148</v>
      </c>
      <c r="H295" t="s">
        <v>148</v>
      </c>
    </row>
    <row r="296" spans="1:8" x14ac:dyDescent="0.25">
      <c r="A296" t="s">
        <v>2433</v>
      </c>
      <c r="B296" t="s">
        <v>2434</v>
      </c>
      <c r="C296" t="s">
        <v>1665</v>
      </c>
      <c r="D296" t="s">
        <v>846</v>
      </c>
      <c r="E296" t="s">
        <v>838</v>
      </c>
      <c r="F296" t="s">
        <v>837</v>
      </c>
      <c r="G296" t="s">
        <v>1810</v>
      </c>
      <c r="H296" t="s">
        <v>1817</v>
      </c>
    </row>
    <row r="297" spans="1:8" x14ac:dyDescent="0.25">
      <c r="A297" t="s">
        <v>2435</v>
      </c>
      <c r="B297" t="s">
        <v>2436</v>
      </c>
      <c r="C297" t="s">
        <v>2437</v>
      </c>
      <c r="D297" t="s">
        <v>2438</v>
      </c>
      <c r="E297" t="s">
        <v>1669</v>
      </c>
      <c r="F297" t="s">
        <v>1065</v>
      </c>
      <c r="G297" t="s">
        <v>1809</v>
      </c>
      <c r="H297" t="s">
        <v>1817</v>
      </c>
    </row>
    <row r="298" spans="1:8" x14ac:dyDescent="0.25">
      <c r="A298" t="s">
        <v>362</v>
      </c>
      <c r="B298" t="s">
        <v>1184</v>
      </c>
      <c r="C298" t="s">
        <v>1183</v>
      </c>
      <c r="D298" t="s">
        <v>1182</v>
      </c>
      <c r="E298" t="s">
        <v>1124</v>
      </c>
      <c r="F298" t="s">
        <v>857</v>
      </c>
      <c r="G298" t="s">
        <v>1806</v>
      </c>
      <c r="H298" t="s">
        <v>1817</v>
      </c>
    </row>
    <row r="299" spans="1:8" x14ac:dyDescent="0.25">
      <c r="A299" t="s">
        <v>363</v>
      </c>
      <c r="B299" t="s">
        <v>1184</v>
      </c>
      <c r="C299" t="s">
        <v>1183</v>
      </c>
      <c r="D299" t="s">
        <v>1182</v>
      </c>
      <c r="E299" t="s">
        <v>1124</v>
      </c>
      <c r="F299" t="s">
        <v>857</v>
      </c>
      <c r="G299" t="s">
        <v>1806</v>
      </c>
      <c r="H299" t="s">
        <v>1817</v>
      </c>
    </row>
    <row r="300" spans="1:8" x14ac:dyDescent="0.25">
      <c r="A300" t="s">
        <v>364</v>
      </c>
      <c r="B300" t="s">
        <v>1185</v>
      </c>
      <c r="C300" t="s">
        <v>1050</v>
      </c>
      <c r="D300" t="s">
        <v>900</v>
      </c>
      <c r="E300" t="s">
        <v>838</v>
      </c>
      <c r="F300" t="s">
        <v>837</v>
      </c>
      <c r="G300" t="s">
        <v>1810</v>
      </c>
      <c r="H300" t="s">
        <v>1817</v>
      </c>
    </row>
    <row r="301" spans="1:8" x14ac:dyDescent="0.25">
      <c r="A301" t="s">
        <v>365</v>
      </c>
      <c r="B301" t="s">
        <v>1187</v>
      </c>
      <c r="C301" t="s">
        <v>1186</v>
      </c>
      <c r="D301" t="s">
        <v>871</v>
      </c>
      <c r="E301" t="s">
        <v>867</v>
      </c>
      <c r="F301" t="s">
        <v>849</v>
      </c>
      <c r="G301" t="s">
        <v>1806</v>
      </c>
      <c r="H301" t="s">
        <v>1817</v>
      </c>
    </row>
    <row r="302" spans="1:8" x14ac:dyDescent="0.25">
      <c r="A302" t="s">
        <v>366</v>
      </c>
      <c r="B302" t="s">
        <v>1778</v>
      </c>
      <c r="C302" t="s">
        <v>1847</v>
      </c>
      <c r="D302" t="s">
        <v>838</v>
      </c>
      <c r="E302" t="s">
        <v>900</v>
      </c>
      <c r="F302" t="s">
        <v>837</v>
      </c>
      <c r="G302" t="s">
        <v>1810</v>
      </c>
    </row>
    <row r="303" spans="1:8" x14ac:dyDescent="0.25">
      <c r="A303" t="s">
        <v>367</v>
      </c>
      <c r="B303" t="s">
        <v>1189</v>
      </c>
      <c r="C303" t="s">
        <v>1188</v>
      </c>
      <c r="D303" t="s">
        <v>928</v>
      </c>
      <c r="E303" t="s">
        <v>867</v>
      </c>
      <c r="F303" t="s">
        <v>849</v>
      </c>
      <c r="G303" t="s">
        <v>1806</v>
      </c>
      <c r="H303" t="s">
        <v>1817</v>
      </c>
    </row>
    <row r="304" spans="1:8" x14ac:dyDescent="0.25">
      <c r="A304" t="s">
        <v>2439</v>
      </c>
      <c r="B304" t="s">
        <v>2440</v>
      </c>
      <c r="C304" t="s">
        <v>916</v>
      </c>
      <c r="D304" t="s">
        <v>915</v>
      </c>
      <c r="E304" t="s">
        <v>880</v>
      </c>
      <c r="F304" t="s">
        <v>837</v>
      </c>
      <c r="G304" t="s">
        <v>1810</v>
      </c>
      <c r="H304" t="s">
        <v>1817</v>
      </c>
    </row>
    <row r="305" spans="1:8" x14ac:dyDescent="0.25">
      <c r="A305" t="s">
        <v>2441</v>
      </c>
      <c r="B305" t="s">
        <v>1192</v>
      </c>
      <c r="C305" t="s">
        <v>1191</v>
      </c>
      <c r="D305" t="s">
        <v>1190</v>
      </c>
      <c r="E305" t="s">
        <v>838</v>
      </c>
      <c r="F305" t="s">
        <v>837</v>
      </c>
      <c r="G305" t="s">
        <v>1810</v>
      </c>
      <c r="H305" t="s">
        <v>1817</v>
      </c>
    </row>
    <row r="306" spans="1:8" x14ac:dyDescent="0.25">
      <c r="A306" t="s">
        <v>2442</v>
      </c>
      <c r="B306" t="s">
        <v>1192</v>
      </c>
      <c r="C306" t="s">
        <v>1191</v>
      </c>
      <c r="D306" t="s">
        <v>1190</v>
      </c>
      <c r="E306" t="s">
        <v>838</v>
      </c>
      <c r="F306" t="s">
        <v>837</v>
      </c>
      <c r="G306" t="s">
        <v>1810</v>
      </c>
      <c r="H306" t="s">
        <v>1817</v>
      </c>
    </row>
    <row r="307" spans="1:8" x14ac:dyDescent="0.25">
      <c r="A307" t="s">
        <v>2443</v>
      </c>
      <c r="B307" t="s">
        <v>1192</v>
      </c>
      <c r="C307" t="s">
        <v>1191</v>
      </c>
      <c r="D307" t="s">
        <v>1190</v>
      </c>
      <c r="E307" t="s">
        <v>838</v>
      </c>
      <c r="F307" t="s">
        <v>837</v>
      </c>
      <c r="G307" t="s">
        <v>1810</v>
      </c>
      <c r="H307" t="s">
        <v>1817</v>
      </c>
    </row>
    <row r="308" spans="1:8" x14ac:dyDescent="0.25">
      <c r="A308" t="s">
        <v>368</v>
      </c>
      <c r="B308" t="s">
        <v>1192</v>
      </c>
      <c r="C308" t="s">
        <v>1191</v>
      </c>
      <c r="D308" t="s">
        <v>1190</v>
      </c>
      <c r="E308" t="s">
        <v>838</v>
      </c>
      <c r="F308" t="s">
        <v>837</v>
      </c>
      <c r="G308" t="s">
        <v>1810</v>
      </c>
      <c r="H308" t="s">
        <v>1817</v>
      </c>
    </row>
    <row r="309" spans="1:8" x14ac:dyDescent="0.25">
      <c r="A309" t="s">
        <v>369</v>
      </c>
      <c r="B309" t="s">
        <v>1194</v>
      </c>
      <c r="C309" t="s">
        <v>1193</v>
      </c>
      <c r="D309" t="s">
        <v>1111</v>
      </c>
      <c r="E309" t="s">
        <v>880</v>
      </c>
      <c r="F309" t="s">
        <v>837</v>
      </c>
      <c r="G309" t="s">
        <v>1810</v>
      </c>
      <c r="H309" t="s">
        <v>1817</v>
      </c>
    </row>
    <row r="310" spans="1:8" x14ac:dyDescent="0.25">
      <c r="A310" t="s">
        <v>370</v>
      </c>
      <c r="B310" t="s">
        <v>1197</v>
      </c>
      <c r="C310" t="s">
        <v>1196</v>
      </c>
      <c r="D310" t="s">
        <v>1195</v>
      </c>
      <c r="E310" t="s">
        <v>880</v>
      </c>
      <c r="F310" t="s">
        <v>837</v>
      </c>
      <c r="G310" t="s">
        <v>1810</v>
      </c>
      <c r="H310" t="s">
        <v>1817</v>
      </c>
    </row>
    <row r="311" spans="1:8" x14ac:dyDescent="0.25">
      <c r="A311" t="s">
        <v>371</v>
      </c>
      <c r="B311" t="s">
        <v>1199</v>
      </c>
      <c r="C311" t="s">
        <v>1198</v>
      </c>
      <c r="D311" t="s">
        <v>963</v>
      </c>
      <c r="E311" t="s">
        <v>838</v>
      </c>
      <c r="F311" t="s">
        <v>837</v>
      </c>
      <c r="G311" t="s">
        <v>1810</v>
      </c>
      <c r="H311" t="s">
        <v>1817</v>
      </c>
    </row>
    <row r="312" spans="1:8" x14ac:dyDescent="0.25">
      <c r="A312" t="s">
        <v>372</v>
      </c>
      <c r="B312" t="s">
        <v>1202</v>
      </c>
      <c r="C312" t="s">
        <v>1201</v>
      </c>
      <c r="D312" t="s">
        <v>1200</v>
      </c>
      <c r="E312" t="s">
        <v>880</v>
      </c>
      <c r="F312" t="s">
        <v>837</v>
      </c>
      <c r="G312" t="s">
        <v>1810</v>
      </c>
      <c r="H312" t="s">
        <v>1817</v>
      </c>
    </row>
    <row r="313" spans="1:8" x14ac:dyDescent="0.25">
      <c r="A313" t="s">
        <v>1204</v>
      </c>
      <c r="B313" t="s">
        <v>1203</v>
      </c>
      <c r="C313" t="s">
        <v>1030</v>
      </c>
      <c r="D313" t="s">
        <v>1029</v>
      </c>
      <c r="E313" t="s">
        <v>867</v>
      </c>
      <c r="F313" t="s">
        <v>849</v>
      </c>
      <c r="G313" t="s">
        <v>1806</v>
      </c>
      <c r="H313" t="s">
        <v>1817</v>
      </c>
    </row>
    <row r="314" spans="1:8" x14ac:dyDescent="0.25">
      <c r="A314" t="s">
        <v>373</v>
      </c>
      <c r="B314" t="s">
        <v>1205</v>
      </c>
      <c r="C314" t="s">
        <v>946</v>
      </c>
      <c r="D314" t="s">
        <v>868</v>
      </c>
      <c r="E314" t="s">
        <v>867</v>
      </c>
      <c r="F314" t="s">
        <v>849</v>
      </c>
      <c r="G314" t="s">
        <v>1806</v>
      </c>
      <c r="H314" t="s">
        <v>1817</v>
      </c>
    </row>
    <row r="315" spans="1:8" x14ac:dyDescent="0.25">
      <c r="A315" t="s">
        <v>374</v>
      </c>
      <c r="B315" t="s">
        <v>1209</v>
      </c>
      <c r="C315" t="s">
        <v>1208</v>
      </c>
      <c r="D315" t="s">
        <v>1207</v>
      </c>
      <c r="E315" t="s">
        <v>1206</v>
      </c>
      <c r="F315" t="s">
        <v>862</v>
      </c>
      <c r="G315" t="s">
        <v>1806</v>
      </c>
      <c r="H315" t="s">
        <v>1817</v>
      </c>
    </row>
    <row r="316" spans="1:8" x14ac:dyDescent="0.25">
      <c r="A316" t="s">
        <v>2444</v>
      </c>
      <c r="B316" t="s">
        <v>1209</v>
      </c>
      <c r="C316" t="s">
        <v>1208</v>
      </c>
      <c r="D316" t="s">
        <v>1207</v>
      </c>
      <c r="E316" t="s">
        <v>1206</v>
      </c>
      <c r="F316" t="s">
        <v>862</v>
      </c>
      <c r="G316" t="s">
        <v>1806</v>
      </c>
      <c r="H316" t="s">
        <v>1817</v>
      </c>
    </row>
    <row r="317" spans="1:8" x14ac:dyDescent="0.25">
      <c r="A317" t="s">
        <v>375</v>
      </c>
      <c r="B317" t="s">
        <v>1210</v>
      </c>
      <c r="C317" t="s">
        <v>1193</v>
      </c>
      <c r="D317" t="s">
        <v>1111</v>
      </c>
      <c r="E317" t="s">
        <v>880</v>
      </c>
      <c r="F317" t="s">
        <v>837</v>
      </c>
      <c r="G317" t="s">
        <v>1810</v>
      </c>
      <c r="H317" t="s">
        <v>1817</v>
      </c>
    </row>
    <row r="318" spans="1:8" x14ac:dyDescent="0.25">
      <c r="A318" t="s">
        <v>376</v>
      </c>
      <c r="B318" t="s">
        <v>1210</v>
      </c>
      <c r="C318" t="s">
        <v>1193</v>
      </c>
      <c r="D318" t="s">
        <v>1111</v>
      </c>
      <c r="E318" t="s">
        <v>880</v>
      </c>
      <c r="F318" t="s">
        <v>837</v>
      </c>
      <c r="G318" t="s">
        <v>1810</v>
      </c>
      <c r="H318" t="s">
        <v>1817</v>
      </c>
    </row>
    <row r="319" spans="1:8" x14ac:dyDescent="0.25">
      <c r="A319" t="s">
        <v>2771</v>
      </c>
      <c r="B319" t="s">
        <v>2772</v>
      </c>
      <c r="C319" t="s">
        <v>1527</v>
      </c>
      <c r="D319" t="s">
        <v>900</v>
      </c>
      <c r="E319" t="s">
        <v>838</v>
      </c>
      <c r="F319" t="s">
        <v>837</v>
      </c>
      <c r="G319" t="s">
        <v>1810</v>
      </c>
      <c r="H319" t="s">
        <v>1817</v>
      </c>
    </row>
    <row r="320" spans="1:8" x14ac:dyDescent="0.25">
      <c r="A320" t="s">
        <v>377</v>
      </c>
      <c r="B320" t="s">
        <v>1211</v>
      </c>
      <c r="C320" t="s">
        <v>1083</v>
      </c>
      <c r="D320" t="s">
        <v>1029</v>
      </c>
      <c r="E320" t="s">
        <v>867</v>
      </c>
      <c r="F320" t="s">
        <v>849</v>
      </c>
      <c r="G320" t="s">
        <v>1806</v>
      </c>
      <c r="H320" t="s">
        <v>1817</v>
      </c>
    </row>
    <row r="321" spans="1:8" x14ac:dyDescent="0.25">
      <c r="A321" t="s">
        <v>378</v>
      </c>
      <c r="B321" t="s">
        <v>1212</v>
      </c>
      <c r="C321" t="s">
        <v>1030</v>
      </c>
      <c r="D321" t="s">
        <v>1029</v>
      </c>
      <c r="E321" t="s">
        <v>867</v>
      </c>
      <c r="F321" t="s">
        <v>849</v>
      </c>
      <c r="G321" t="s">
        <v>1806</v>
      </c>
      <c r="H321" t="s">
        <v>1817</v>
      </c>
    </row>
    <row r="322" spans="1:8" x14ac:dyDescent="0.25">
      <c r="A322" t="s">
        <v>379</v>
      </c>
      <c r="B322" t="s">
        <v>1213</v>
      </c>
      <c r="C322" t="s">
        <v>1086</v>
      </c>
      <c r="D322" t="s">
        <v>1029</v>
      </c>
      <c r="E322" t="s">
        <v>867</v>
      </c>
      <c r="F322" t="s">
        <v>849</v>
      </c>
      <c r="G322" t="s">
        <v>1806</v>
      </c>
      <c r="H322" t="s">
        <v>1817</v>
      </c>
    </row>
    <row r="323" spans="1:8" x14ac:dyDescent="0.25">
      <c r="A323" t="s">
        <v>380</v>
      </c>
      <c r="B323" t="s">
        <v>1214</v>
      </c>
      <c r="C323" t="s">
        <v>1011</v>
      </c>
      <c r="D323" t="s">
        <v>884</v>
      </c>
      <c r="E323" t="s">
        <v>867</v>
      </c>
      <c r="F323" t="s">
        <v>849</v>
      </c>
      <c r="G323" t="s">
        <v>1806</v>
      </c>
      <c r="H323" t="s">
        <v>1817</v>
      </c>
    </row>
    <row r="324" spans="1:8" x14ac:dyDescent="0.25">
      <c r="A324" t="s">
        <v>381</v>
      </c>
      <c r="B324" t="s">
        <v>1217</v>
      </c>
      <c r="C324" t="s">
        <v>1216</v>
      </c>
      <c r="D324" t="s">
        <v>1215</v>
      </c>
      <c r="E324" t="s">
        <v>968</v>
      </c>
      <c r="F324" t="s">
        <v>862</v>
      </c>
      <c r="G324" t="s">
        <v>1806</v>
      </c>
      <c r="H324" t="s">
        <v>1817</v>
      </c>
    </row>
    <row r="325" spans="1:8" x14ac:dyDescent="0.25">
      <c r="A325" t="s">
        <v>382</v>
      </c>
      <c r="B325" t="s">
        <v>1217</v>
      </c>
      <c r="C325" t="s">
        <v>1216</v>
      </c>
      <c r="D325" t="s">
        <v>1215</v>
      </c>
      <c r="E325" t="s">
        <v>968</v>
      </c>
      <c r="F325" t="s">
        <v>862</v>
      </c>
      <c r="G325" t="s">
        <v>1806</v>
      </c>
      <c r="H325" t="s">
        <v>1817</v>
      </c>
    </row>
    <row r="326" spans="1:8" x14ac:dyDescent="0.25">
      <c r="A326" t="s">
        <v>2445</v>
      </c>
      <c r="B326" t="s">
        <v>1217</v>
      </c>
      <c r="C326" t="s">
        <v>1216</v>
      </c>
      <c r="D326" t="s">
        <v>1215</v>
      </c>
      <c r="E326" t="s">
        <v>968</v>
      </c>
      <c r="F326" t="s">
        <v>862</v>
      </c>
      <c r="G326" t="s">
        <v>1806</v>
      </c>
      <c r="H326" t="s">
        <v>1817</v>
      </c>
    </row>
    <row r="327" spans="1:8" x14ac:dyDescent="0.25">
      <c r="A327" t="s">
        <v>383</v>
      </c>
      <c r="B327" t="s">
        <v>1218</v>
      </c>
      <c r="C327" t="s">
        <v>916</v>
      </c>
      <c r="D327" t="s">
        <v>915</v>
      </c>
      <c r="E327" t="s">
        <v>880</v>
      </c>
      <c r="F327" t="s">
        <v>837</v>
      </c>
      <c r="G327" t="s">
        <v>1810</v>
      </c>
      <c r="H327" t="s">
        <v>1817</v>
      </c>
    </row>
    <row r="328" spans="1:8" x14ac:dyDescent="0.25">
      <c r="A328" t="s">
        <v>384</v>
      </c>
      <c r="B328" t="s">
        <v>1219</v>
      </c>
      <c r="C328" t="s">
        <v>908</v>
      </c>
      <c r="D328" t="s">
        <v>907</v>
      </c>
      <c r="E328" t="s">
        <v>838</v>
      </c>
      <c r="F328" t="s">
        <v>837</v>
      </c>
      <c r="G328" t="s">
        <v>1810</v>
      </c>
      <c r="H328" t="s">
        <v>1817</v>
      </c>
    </row>
    <row r="329" spans="1:8" x14ac:dyDescent="0.25">
      <c r="A329" t="s">
        <v>385</v>
      </c>
      <c r="B329" t="s">
        <v>1220</v>
      </c>
      <c r="C329" t="s">
        <v>970</v>
      </c>
      <c r="D329" t="s">
        <v>969</v>
      </c>
      <c r="E329" t="s">
        <v>968</v>
      </c>
      <c r="F329" t="s">
        <v>862</v>
      </c>
      <c r="G329" t="s">
        <v>1806</v>
      </c>
      <c r="H329" t="s">
        <v>1817</v>
      </c>
    </row>
    <row r="330" spans="1:8" x14ac:dyDescent="0.25">
      <c r="A330" t="s">
        <v>386</v>
      </c>
      <c r="B330" t="s">
        <v>1222</v>
      </c>
      <c r="C330" t="s">
        <v>1221</v>
      </c>
      <c r="D330" t="s">
        <v>1036</v>
      </c>
      <c r="E330" t="s">
        <v>1035</v>
      </c>
      <c r="F330" t="s">
        <v>849</v>
      </c>
      <c r="G330" t="s">
        <v>1806</v>
      </c>
      <c r="H330" t="s">
        <v>1817</v>
      </c>
    </row>
    <row r="331" spans="1:8" x14ac:dyDescent="0.25">
      <c r="A331" t="s">
        <v>387</v>
      </c>
      <c r="B331" t="s">
        <v>1224</v>
      </c>
      <c r="C331" t="s">
        <v>1223</v>
      </c>
      <c r="D331" t="s">
        <v>1029</v>
      </c>
      <c r="E331" t="s">
        <v>867</v>
      </c>
      <c r="F331" t="s">
        <v>849</v>
      </c>
      <c r="G331" t="s">
        <v>1806</v>
      </c>
      <c r="H331" t="s">
        <v>1817</v>
      </c>
    </row>
    <row r="332" spans="1:8" x14ac:dyDescent="0.25">
      <c r="A332" t="s">
        <v>388</v>
      </c>
      <c r="B332" t="s">
        <v>1225</v>
      </c>
      <c r="C332" t="s">
        <v>946</v>
      </c>
      <c r="D332" t="s">
        <v>868</v>
      </c>
      <c r="E332" t="s">
        <v>867</v>
      </c>
      <c r="F332" t="s">
        <v>849</v>
      </c>
      <c r="G332" t="s">
        <v>1806</v>
      </c>
      <c r="H332" t="s">
        <v>1817</v>
      </c>
    </row>
    <row r="333" spans="1:8" x14ac:dyDescent="0.25">
      <c r="A333" t="s">
        <v>2446</v>
      </c>
      <c r="B333" t="s">
        <v>2447</v>
      </c>
      <c r="C333" t="s">
        <v>1515</v>
      </c>
      <c r="D333" t="s">
        <v>1514</v>
      </c>
      <c r="E333" t="s">
        <v>838</v>
      </c>
      <c r="F333" t="s">
        <v>837</v>
      </c>
      <c r="G333" t="s">
        <v>1810</v>
      </c>
      <c r="H333" t="s">
        <v>1817</v>
      </c>
    </row>
    <row r="334" spans="1:8" x14ac:dyDescent="0.25">
      <c r="A334" t="s">
        <v>389</v>
      </c>
      <c r="B334" t="s">
        <v>1228</v>
      </c>
      <c r="C334" t="s">
        <v>1227</v>
      </c>
      <c r="D334" t="s">
        <v>1226</v>
      </c>
      <c r="E334" t="s">
        <v>875</v>
      </c>
      <c r="F334" t="s">
        <v>874</v>
      </c>
      <c r="G334" t="s">
        <v>1807</v>
      </c>
      <c r="H334" t="s">
        <v>1817</v>
      </c>
    </row>
    <row r="335" spans="1:8" x14ac:dyDescent="0.25">
      <c r="A335" t="s">
        <v>390</v>
      </c>
      <c r="B335" t="s">
        <v>1231</v>
      </c>
      <c r="C335" t="s">
        <v>1230</v>
      </c>
      <c r="D335" t="s">
        <v>1229</v>
      </c>
      <c r="E335" t="s">
        <v>968</v>
      </c>
      <c r="F335" t="s">
        <v>862</v>
      </c>
      <c r="G335" t="s">
        <v>1806</v>
      </c>
      <c r="H335" t="s">
        <v>1817</v>
      </c>
    </row>
    <row r="336" spans="1:8" x14ac:dyDescent="0.25">
      <c r="A336" t="s">
        <v>391</v>
      </c>
      <c r="B336" t="s">
        <v>1234</v>
      </c>
      <c r="C336" t="s">
        <v>1233</v>
      </c>
      <c r="D336" t="s">
        <v>1232</v>
      </c>
      <c r="E336" t="s">
        <v>889</v>
      </c>
      <c r="F336" t="s">
        <v>862</v>
      </c>
      <c r="G336" t="s">
        <v>1806</v>
      </c>
      <c r="H336" t="s">
        <v>1817</v>
      </c>
    </row>
    <row r="337" spans="1:8" x14ac:dyDescent="0.25">
      <c r="A337" t="s">
        <v>392</v>
      </c>
      <c r="B337" t="s">
        <v>1235</v>
      </c>
      <c r="C337" t="s">
        <v>903</v>
      </c>
      <c r="D337" t="s">
        <v>864</v>
      </c>
      <c r="E337" t="s">
        <v>863</v>
      </c>
      <c r="F337" t="s">
        <v>862</v>
      </c>
      <c r="G337" t="s">
        <v>1806</v>
      </c>
      <c r="H337" t="s">
        <v>1817</v>
      </c>
    </row>
    <row r="338" spans="1:8" x14ac:dyDescent="0.25">
      <c r="A338" t="s">
        <v>393</v>
      </c>
      <c r="B338" t="s">
        <v>1237</v>
      </c>
      <c r="C338" t="s">
        <v>1236</v>
      </c>
      <c r="D338" t="s">
        <v>1107</v>
      </c>
      <c r="E338" t="s">
        <v>838</v>
      </c>
      <c r="F338" t="s">
        <v>837</v>
      </c>
      <c r="G338" t="s">
        <v>1810</v>
      </c>
      <c r="H338" t="s">
        <v>1817</v>
      </c>
    </row>
    <row r="339" spans="1:8" x14ac:dyDescent="0.25">
      <c r="A339" t="s">
        <v>394</v>
      </c>
      <c r="B339" t="s">
        <v>1237</v>
      </c>
      <c r="C339" t="s">
        <v>1236</v>
      </c>
      <c r="D339" t="s">
        <v>1107</v>
      </c>
      <c r="E339" t="s">
        <v>838</v>
      </c>
      <c r="F339" t="s">
        <v>837</v>
      </c>
      <c r="G339" t="s">
        <v>1810</v>
      </c>
      <c r="H339" t="s">
        <v>1817</v>
      </c>
    </row>
    <row r="340" spans="1:8" x14ac:dyDescent="0.25">
      <c r="A340" t="s">
        <v>2448</v>
      </c>
      <c r="B340" t="s">
        <v>1237</v>
      </c>
      <c r="C340" t="s">
        <v>1236</v>
      </c>
      <c r="D340" t="s">
        <v>1107</v>
      </c>
      <c r="E340" t="s">
        <v>838</v>
      </c>
      <c r="F340" t="s">
        <v>837</v>
      </c>
      <c r="G340" t="s">
        <v>1810</v>
      </c>
      <c r="H340" t="s">
        <v>1817</v>
      </c>
    </row>
    <row r="341" spans="1:8" x14ac:dyDescent="0.25">
      <c r="A341" t="s">
        <v>395</v>
      </c>
      <c r="B341" t="s">
        <v>1237</v>
      </c>
      <c r="C341" t="s">
        <v>1236</v>
      </c>
      <c r="D341" t="s">
        <v>1107</v>
      </c>
      <c r="E341" t="s">
        <v>838</v>
      </c>
      <c r="F341" t="s">
        <v>837</v>
      </c>
      <c r="G341" t="s">
        <v>1810</v>
      </c>
      <c r="H341" t="s">
        <v>1817</v>
      </c>
    </row>
    <row r="342" spans="1:8" x14ac:dyDescent="0.25">
      <c r="A342" t="s">
        <v>396</v>
      </c>
      <c r="B342" t="s">
        <v>1238</v>
      </c>
      <c r="C342" t="s">
        <v>908</v>
      </c>
      <c r="D342" t="s">
        <v>907</v>
      </c>
      <c r="E342" t="s">
        <v>838</v>
      </c>
      <c r="F342" t="s">
        <v>837</v>
      </c>
      <c r="G342" t="s">
        <v>1810</v>
      </c>
      <c r="H342" t="s">
        <v>1817</v>
      </c>
    </row>
    <row r="343" spans="1:8" x14ac:dyDescent="0.25">
      <c r="A343" t="s">
        <v>2449</v>
      </c>
      <c r="B343" t="s">
        <v>1238</v>
      </c>
      <c r="C343" t="s">
        <v>908</v>
      </c>
      <c r="D343" t="s">
        <v>907</v>
      </c>
      <c r="E343" t="s">
        <v>838</v>
      </c>
      <c r="F343" t="s">
        <v>837</v>
      </c>
      <c r="G343" t="s">
        <v>1810</v>
      </c>
      <c r="H343" t="s">
        <v>1817</v>
      </c>
    </row>
    <row r="344" spans="1:8" x14ac:dyDescent="0.25">
      <c r="A344" t="s">
        <v>397</v>
      </c>
      <c r="B344" t="s">
        <v>1241</v>
      </c>
      <c r="C344" t="s">
        <v>1240</v>
      </c>
      <c r="D344" t="s">
        <v>1239</v>
      </c>
      <c r="E344" t="s">
        <v>838</v>
      </c>
      <c r="F344" t="s">
        <v>837</v>
      </c>
      <c r="G344" t="s">
        <v>1810</v>
      </c>
      <c r="H344" t="s">
        <v>1817</v>
      </c>
    </row>
    <row r="345" spans="1:8" x14ac:dyDescent="0.25">
      <c r="A345" t="s">
        <v>398</v>
      </c>
      <c r="B345" t="s">
        <v>1241</v>
      </c>
      <c r="C345" t="s">
        <v>1240</v>
      </c>
      <c r="D345" t="s">
        <v>1239</v>
      </c>
      <c r="E345" t="s">
        <v>838</v>
      </c>
      <c r="F345" t="s">
        <v>837</v>
      </c>
      <c r="G345" t="s">
        <v>1810</v>
      </c>
      <c r="H345" t="s">
        <v>1817</v>
      </c>
    </row>
    <row r="346" spans="1:8" x14ac:dyDescent="0.25">
      <c r="A346" t="s">
        <v>399</v>
      </c>
      <c r="B346" t="s">
        <v>1243</v>
      </c>
      <c r="C346" t="s">
        <v>1242</v>
      </c>
      <c r="D346" t="s">
        <v>851</v>
      </c>
      <c r="E346" t="s">
        <v>850</v>
      </c>
      <c r="F346" t="s">
        <v>849</v>
      </c>
      <c r="G346" t="s">
        <v>1806</v>
      </c>
      <c r="H346" t="s">
        <v>1817</v>
      </c>
    </row>
    <row r="347" spans="1:8" x14ac:dyDescent="0.25">
      <c r="A347" t="s">
        <v>400</v>
      </c>
      <c r="B347" t="s">
        <v>1779</v>
      </c>
      <c r="C347" t="s">
        <v>936</v>
      </c>
      <c r="D347" t="s">
        <v>867</v>
      </c>
      <c r="E347" t="s">
        <v>884</v>
      </c>
      <c r="F347" t="s">
        <v>849</v>
      </c>
      <c r="G347" t="s">
        <v>1806</v>
      </c>
    </row>
    <row r="348" spans="1:8" x14ac:dyDescent="0.25">
      <c r="A348" t="s">
        <v>2450</v>
      </c>
      <c r="B348" t="s">
        <v>2451</v>
      </c>
      <c r="C348" t="s">
        <v>1527</v>
      </c>
      <c r="D348" t="s">
        <v>900</v>
      </c>
      <c r="E348" t="s">
        <v>838</v>
      </c>
      <c r="F348" t="s">
        <v>837</v>
      </c>
      <c r="G348" t="s">
        <v>1810</v>
      </c>
      <c r="H348" t="s">
        <v>1817</v>
      </c>
    </row>
    <row r="349" spans="1:8" x14ac:dyDescent="0.25">
      <c r="A349" t="s">
        <v>2452</v>
      </c>
      <c r="B349" t="s">
        <v>2451</v>
      </c>
      <c r="C349" t="s">
        <v>1527</v>
      </c>
      <c r="D349" t="s">
        <v>900</v>
      </c>
      <c r="E349" t="s">
        <v>838</v>
      </c>
      <c r="F349" t="s">
        <v>837</v>
      </c>
      <c r="G349" t="s">
        <v>1810</v>
      </c>
      <c r="H349" t="s">
        <v>1817</v>
      </c>
    </row>
    <row r="350" spans="1:8" x14ac:dyDescent="0.25">
      <c r="A350" t="s">
        <v>401</v>
      </c>
      <c r="B350" t="s">
        <v>1245</v>
      </c>
      <c r="C350" t="s">
        <v>1244</v>
      </c>
      <c r="D350" t="s">
        <v>1045</v>
      </c>
      <c r="E350" t="s">
        <v>968</v>
      </c>
      <c r="F350" t="s">
        <v>862</v>
      </c>
      <c r="G350" t="s">
        <v>1806</v>
      </c>
      <c r="H350" t="s">
        <v>1817</v>
      </c>
    </row>
    <row r="351" spans="1:8" x14ac:dyDescent="0.25">
      <c r="A351" t="s">
        <v>2453</v>
      </c>
      <c r="B351" t="s">
        <v>1245</v>
      </c>
      <c r="C351" t="s">
        <v>1244</v>
      </c>
      <c r="D351" t="s">
        <v>1045</v>
      </c>
      <c r="E351" t="s">
        <v>968</v>
      </c>
      <c r="F351" t="s">
        <v>862</v>
      </c>
      <c r="G351" t="s">
        <v>1806</v>
      </c>
      <c r="H351" t="s">
        <v>1817</v>
      </c>
    </row>
    <row r="352" spans="1:8" x14ac:dyDescent="0.25">
      <c r="A352" t="s">
        <v>402</v>
      </c>
      <c r="B352" t="s">
        <v>1250</v>
      </c>
      <c r="C352" t="s">
        <v>1249</v>
      </c>
      <c r="D352" t="s">
        <v>1248</v>
      </c>
      <c r="E352" t="s">
        <v>1247</v>
      </c>
      <c r="F352" t="s">
        <v>1246</v>
      </c>
      <c r="G352" t="s">
        <v>1806</v>
      </c>
      <c r="H352" t="s">
        <v>1817</v>
      </c>
    </row>
    <row r="353" spans="1:8" x14ac:dyDescent="0.25">
      <c r="A353" t="s">
        <v>403</v>
      </c>
      <c r="B353" t="s">
        <v>1251</v>
      </c>
      <c r="C353" t="s">
        <v>843</v>
      </c>
      <c r="D353" t="s">
        <v>842</v>
      </c>
      <c r="E353" t="s">
        <v>838</v>
      </c>
      <c r="F353" t="s">
        <v>837</v>
      </c>
      <c r="G353" t="s">
        <v>1810</v>
      </c>
      <c r="H353" t="s">
        <v>1817</v>
      </c>
    </row>
    <row r="354" spans="1:8" x14ac:dyDescent="0.25">
      <c r="A354" t="s">
        <v>2778</v>
      </c>
      <c r="B354" t="s">
        <v>2779</v>
      </c>
      <c r="C354" t="s">
        <v>1114</v>
      </c>
      <c r="D354" t="s">
        <v>963</v>
      </c>
      <c r="E354" t="s">
        <v>838</v>
      </c>
      <c r="F354" t="s">
        <v>837</v>
      </c>
      <c r="G354" t="s">
        <v>1810</v>
      </c>
      <c r="H354" t="s">
        <v>1820</v>
      </c>
    </row>
    <row r="355" spans="1:8" x14ac:dyDescent="0.25">
      <c r="A355" t="s">
        <v>404</v>
      </c>
      <c r="B355" t="s">
        <v>1254</v>
      </c>
      <c r="C355" t="s">
        <v>1253</v>
      </c>
      <c r="D355" t="s">
        <v>1252</v>
      </c>
      <c r="E355" t="s">
        <v>867</v>
      </c>
      <c r="F355" t="s">
        <v>849</v>
      </c>
      <c r="G355" t="s">
        <v>1806</v>
      </c>
      <c r="H355" t="s">
        <v>1817</v>
      </c>
    </row>
    <row r="356" spans="1:8" x14ac:dyDescent="0.25">
      <c r="A356" t="s">
        <v>405</v>
      </c>
      <c r="B356" t="s">
        <v>1254</v>
      </c>
      <c r="C356" t="s">
        <v>1253</v>
      </c>
      <c r="D356" t="s">
        <v>1252</v>
      </c>
      <c r="E356" t="s">
        <v>867</v>
      </c>
      <c r="F356" t="s">
        <v>849</v>
      </c>
      <c r="G356" t="s">
        <v>1806</v>
      </c>
      <c r="H356" t="s">
        <v>1817</v>
      </c>
    </row>
    <row r="357" spans="1:8" x14ac:dyDescent="0.25">
      <c r="A357" t="s">
        <v>406</v>
      </c>
      <c r="B357" t="s">
        <v>1256</v>
      </c>
      <c r="C357" t="s">
        <v>1255</v>
      </c>
      <c r="D357" t="s">
        <v>846</v>
      </c>
      <c r="E357" t="s">
        <v>838</v>
      </c>
      <c r="F357" t="s">
        <v>837</v>
      </c>
      <c r="G357" t="s">
        <v>1810</v>
      </c>
      <c r="H357" t="s">
        <v>1817</v>
      </c>
    </row>
    <row r="358" spans="1:8" x14ac:dyDescent="0.25">
      <c r="A358" t="s">
        <v>407</v>
      </c>
      <c r="B358" t="s">
        <v>1257</v>
      </c>
      <c r="C358" t="s">
        <v>1078</v>
      </c>
      <c r="D358" t="s">
        <v>838</v>
      </c>
      <c r="E358" t="s">
        <v>881</v>
      </c>
      <c r="F358" t="s">
        <v>837</v>
      </c>
      <c r="G358" t="s">
        <v>1810</v>
      </c>
    </row>
    <row r="359" spans="1:8" x14ac:dyDescent="0.25">
      <c r="A359" t="s">
        <v>408</v>
      </c>
      <c r="B359" t="s">
        <v>1257</v>
      </c>
      <c r="C359" t="s">
        <v>1078</v>
      </c>
      <c r="D359" t="s">
        <v>881</v>
      </c>
      <c r="E359" t="s">
        <v>880</v>
      </c>
      <c r="F359" t="s">
        <v>837</v>
      </c>
      <c r="G359" t="s">
        <v>1810</v>
      </c>
      <c r="H359" t="s">
        <v>1817</v>
      </c>
    </row>
    <row r="360" spans="1:8" x14ac:dyDescent="0.25">
      <c r="A360" t="s">
        <v>409</v>
      </c>
      <c r="B360" t="s">
        <v>1260</v>
      </c>
      <c r="C360" t="s">
        <v>1259</v>
      </c>
      <c r="D360" t="s">
        <v>1258</v>
      </c>
      <c r="E360" t="s">
        <v>889</v>
      </c>
      <c r="F360" t="s">
        <v>862</v>
      </c>
      <c r="G360" t="s">
        <v>1806</v>
      </c>
      <c r="H360" t="s">
        <v>1817</v>
      </c>
    </row>
    <row r="361" spans="1:8" x14ac:dyDescent="0.25">
      <c r="A361" t="s">
        <v>410</v>
      </c>
      <c r="B361" t="s">
        <v>1261</v>
      </c>
      <c r="C361" t="s">
        <v>882</v>
      </c>
      <c r="D361" t="s">
        <v>881</v>
      </c>
      <c r="E361" t="s">
        <v>880</v>
      </c>
      <c r="F361" t="s">
        <v>837</v>
      </c>
      <c r="G361" t="s">
        <v>1810</v>
      </c>
      <c r="H361" t="s">
        <v>1817</v>
      </c>
    </row>
    <row r="362" spans="1:8" x14ac:dyDescent="0.25">
      <c r="A362" t="s">
        <v>2454</v>
      </c>
      <c r="B362" t="s">
        <v>1261</v>
      </c>
      <c r="C362" t="s">
        <v>882</v>
      </c>
      <c r="D362" t="s">
        <v>881</v>
      </c>
      <c r="E362" t="s">
        <v>880</v>
      </c>
      <c r="F362" t="s">
        <v>837</v>
      </c>
      <c r="G362" t="s">
        <v>1810</v>
      </c>
      <c r="H362" t="s">
        <v>1817</v>
      </c>
    </row>
    <row r="363" spans="1:8" x14ac:dyDescent="0.25">
      <c r="A363" t="s">
        <v>2774</v>
      </c>
      <c r="B363" t="s">
        <v>1264</v>
      </c>
      <c r="C363" t="s">
        <v>1263</v>
      </c>
      <c r="D363" t="s">
        <v>1262</v>
      </c>
      <c r="E363" t="s">
        <v>1066</v>
      </c>
      <c r="F363" t="s">
        <v>1065</v>
      </c>
      <c r="G363" t="s">
        <v>1809</v>
      </c>
      <c r="H363" t="s">
        <v>1820</v>
      </c>
    </row>
    <row r="364" spans="1:8" x14ac:dyDescent="0.25">
      <c r="A364" t="s">
        <v>411</v>
      </c>
      <c r="B364" t="s">
        <v>1264</v>
      </c>
      <c r="C364" t="s">
        <v>1263</v>
      </c>
      <c r="D364" t="s">
        <v>1262</v>
      </c>
      <c r="E364" t="s">
        <v>1066</v>
      </c>
      <c r="F364" t="s">
        <v>1065</v>
      </c>
      <c r="G364" t="s">
        <v>1809</v>
      </c>
      <c r="H364" t="s">
        <v>1817</v>
      </c>
    </row>
    <row r="365" spans="1:8" x14ac:dyDescent="0.25">
      <c r="A365" t="s">
        <v>2455</v>
      </c>
      <c r="B365" t="s">
        <v>1264</v>
      </c>
      <c r="C365" t="s">
        <v>1263</v>
      </c>
      <c r="D365" t="s">
        <v>1262</v>
      </c>
      <c r="E365" t="s">
        <v>1066</v>
      </c>
      <c r="F365" t="s">
        <v>1065</v>
      </c>
      <c r="G365" t="s">
        <v>1809</v>
      </c>
      <c r="H365" t="s">
        <v>1817</v>
      </c>
    </row>
    <row r="366" spans="1:8" x14ac:dyDescent="0.25">
      <c r="A366" t="s">
        <v>412</v>
      </c>
      <c r="B366" t="s">
        <v>1267</v>
      </c>
      <c r="C366" t="s">
        <v>1266</v>
      </c>
      <c r="D366" t="s">
        <v>1265</v>
      </c>
      <c r="E366" t="s">
        <v>863</v>
      </c>
      <c r="F366" t="s">
        <v>862</v>
      </c>
      <c r="G366" t="s">
        <v>1806</v>
      </c>
      <c r="H366" t="s">
        <v>1817</v>
      </c>
    </row>
    <row r="367" spans="1:8" x14ac:dyDescent="0.25">
      <c r="A367" t="s">
        <v>413</v>
      </c>
      <c r="B367" t="s">
        <v>1269</v>
      </c>
      <c r="C367" t="s">
        <v>1268</v>
      </c>
      <c r="D367" t="s">
        <v>1258</v>
      </c>
      <c r="E367" t="s">
        <v>889</v>
      </c>
      <c r="F367" t="s">
        <v>862</v>
      </c>
      <c r="G367" t="s">
        <v>1806</v>
      </c>
      <c r="H367" t="s">
        <v>1817</v>
      </c>
    </row>
    <row r="368" spans="1:8" x14ac:dyDescent="0.25">
      <c r="A368" t="s">
        <v>414</v>
      </c>
      <c r="B368" t="s">
        <v>1780</v>
      </c>
      <c r="C368" t="s">
        <v>908</v>
      </c>
      <c r="D368" t="s">
        <v>838</v>
      </c>
      <c r="E368" t="s">
        <v>907</v>
      </c>
      <c r="F368" t="s">
        <v>837</v>
      </c>
      <c r="G368" t="s">
        <v>1810</v>
      </c>
    </row>
    <row r="369" spans="1:8" x14ac:dyDescent="0.25">
      <c r="A369" t="s">
        <v>415</v>
      </c>
      <c r="B369" t="s">
        <v>1271</v>
      </c>
      <c r="C369" t="s">
        <v>1270</v>
      </c>
      <c r="D369" t="s">
        <v>1045</v>
      </c>
      <c r="E369" t="s">
        <v>968</v>
      </c>
      <c r="F369" t="s">
        <v>862</v>
      </c>
      <c r="G369" t="s">
        <v>1806</v>
      </c>
      <c r="H369" t="s">
        <v>1817</v>
      </c>
    </row>
    <row r="370" spans="1:8" x14ac:dyDescent="0.25">
      <c r="A370" t="s">
        <v>416</v>
      </c>
      <c r="B370" t="s">
        <v>1272</v>
      </c>
      <c r="C370" t="s">
        <v>843</v>
      </c>
      <c r="D370" t="s">
        <v>842</v>
      </c>
      <c r="E370" t="s">
        <v>838</v>
      </c>
      <c r="F370" t="s">
        <v>837</v>
      </c>
      <c r="G370" t="s">
        <v>1810</v>
      </c>
      <c r="H370" t="s">
        <v>1817</v>
      </c>
    </row>
    <row r="371" spans="1:8" x14ac:dyDescent="0.25">
      <c r="A371" t="s">
        <v>417</v>
      </c>
      <c r="B371" t="s">
        <v>1274</v>
      </c>
      <c r="C371" t="s">
        <v>1273</v>
      </c>
      <c r="D371" t="s">
        <v>972</v>
      </c>
      <c r="E371" t="s">
        <v>968</v>
      </c>
      <c r="F371" t="s">
        <v>862</v>
      </c>
      <c r="G371" t="s">
        <v>1806</v>
      </c>
      <c r="H371" t="s">
        <v>1817</v>
      </c>
    </row>
    <row r="372" spans="1:8" x14ac:dyDescent="0.25">
      <c r="A372" t="s">
        <v>2456</v>
      </c>
      <c r="B372" t="s">
        <v>2457</v>
      </c>
      <c r="C372" t="s">
        <v>1320</v>
      </c>
      <c r="D372" t="s">
        <v>1178</v>
      </c>
      <c r="E372" t="s">
        <v>919</v>
      </c>
      <c r="F372" t="s">
        <v>918</v>
      </c>
      <c r="G372" t="s">
        <v>1806</v>
      </c>
      <c r="H372" t="s">
        <v>1817</v>
      </c>
    </row>
    <row r="373" spans="1:8" x14ac:dyDescent="0.25">
      <c r="A373" t="s">
        <v>2458</v>
      </c>
      <c r="B373" t="s">
        <v>2457</v>
      </c>
      <c r="C373" t="s">
        <v>1320</v>
      </c>
      <c r="D373" t="s">
        <v>1178</v>
      </c>
      <c r="E373" t="s">
        <v>919</v>
      </c>
      <c r="F373" t="s">
        <v>918</v>
      </c>
      <c r="G373" t="s">
        <v>1806</v>
      </c>
      <c r="H373" t="s">
        <v>1817</v>
      </c>
    </row>
    <row r="374" spans="1:8" x14ac:dyDescent="0.25">
      <c r="A374" t="s">
        <v>2459</v>
      </c>
      <c r="B374" t="s">
        <v>2460</v>
      </c>
      <c r="C374" t="s">
        <v>2360</v>
      </c>
      <c r="D374" t="s">
        <v>871</v>
      </c>
      <c r="E374" t="s">
        <v>867</v>
      </c>
      <c r="F374" t="s">
        <v>849</v>
      </c>
      <c r="G374" t="s">
        <v>1806</v>
      </c>
      <c r="H374" t="s">
        <v>1817</v>
      </c>
    </row>
    <row r="375" spans="1:8" x14ac:dyDescent="0.25">
      <c r="A375" t="s">
        <v>418</v>
      </c>
      <c r="B375" t="s">
        <v>1781</v>
      </c>
      <c r="C375" t="s">
        <v>954</v>
      </c>
      <c r="D375" t="s">
        <v>838</v>
      </c>
      <c r="E375" t="s">
        <v>953</v>
      </c>
      <c r="F375" t="s">
        <v>837</v>
      </c>
      <c r="G375" t="s">
        <v>1810</v>
      </c>
    </row>
    <row r="376" spans="1:8" x14ac:dyDescent="0.25">
      <c r="A376" t="s">
        <v>2461</v>
      </c>
      <c r="B376" t="s">
        <v>1275</v>
      </c>
      <c r="C376" t="s">
        <v>936</v>
      </c>
      <c r="D376" t="s">
        <v>884</v>
      </c>
      <c r="E376" t="s">
        <v>867</v>
      </c>
      <c r="F376" t="s">
        <v>849</v>
      </c>
      <c r="G376" t="s">
        <v>1806</v>
      </c>
      <c r="H376" t="s">
        <v>1817</v>
      </c>
    </row>
    <row r="377" spans="1:8" x14ac:dyDescent="0.25">
      <c r="A377" t="s">
        <v>419</v>
      </c>
      <c r="B377" t="s">
        <v>1275</v>
      </c>
      <c r="C377" t="s">
        <v>936</v>
      </c>
      <c r="D377" t="s">
        <v>884</v>
      </c>
      <c r="E377" t="s">
        <v>867</v>
      </c>
      <c r="F377" t="s">
        <v>849</v>
      </c>
      <c r="G377" t="s">
        <v>1806</v>
      </c>
      <c r="H377" t="s">
        <v>1817</v>
      </c>
    </row>
    <row r="378" spans="1:8" x14ac:dyDescent="0.25">
      <c r="A378" t="s">
        <v>420</v>
      </c>
      <c r="B378" t="s">
        <v>1276</v>
      </c>
      <c r="C378" t="s">
        <v>1086</v>
      </c>
      <c r="D378" t="s">
        <v>1029</v>
      </c>
      <c r="E378" t="s">
        <v>867</v>
      </c>
      <c r="F378" t="s">
        <v>849</v>
      </c>
      <c r="G378" t="s">
        <v>1806</v>
      </c>
      <c r="H378" t="s">
        <v>1817</v>
      </c>
    </row>
    <row r="379" spans="1:8" x14ac:dyDescent="0.25">
      <c r="A379" t="s">
        <v>421</v>
      </c>
      <c r="B379" t="s">
        <v>1276</v>
      </c>
      <c r="C379" t="s">
        <v>1086</v>
      </c>
      <c r="D379" t="s">
        <v>1029</v>
      </c>
      <c r="E379" t="s">
        <v>867</v>
      </c>
      <c r="F379" t="s">
        <v>849</v>
      </c>
      <c r="G379" t="s">
        <v>1806</v>
      </c>
      <c r="H379" t="s">
        <v>1817</v>
      </c>
    </row>
    <row r="380" spans="1:8" x14ac:dyDescent="0.25">
      <c r="A380" t="s">
        <v>422</v>
      </c>
      <c r="B380" t="s">
        <v>1277</v>
      </c>
      <c r="C380" t="s">
        <v>1089</v>
      </c>
      <c r="D380" t="s">
        <v>1080</v>
      </c>
      <c r="E380" t="s">
        <v>923</v>
      </c>
      <c r="F380" t="s">
        <v>862</v>
      </c>
      <c r="G380" t="s">
        <v>1806</v>
      </c>
      <c r="H380" t="s">
        <v>1817</v>
      </c>
    </row>
    <row r="381" spans="1:8" x14ac:dyDescent="0.25">
      <c r="A381" t="s">
        <v>423</v>
      </c>
      <c r="B381" t="s">
        <v>1277</v>
      </c>
      <c r="C381" t="s">
        <v>1089</v>
      </c>
      <c r="D381" t="s">
        <v>1080</v>
      </c>
      <c r="E381" t="s">
        <v>923</v>
      </c>
      <c r="F381" t="s">
        <v>862</v>
      </c>
      <c r="G381" t="s">
        <v>1806</v>
      </c>
      <c r="H381" t="s">
        <v>1817</v>
      </c>
    </row>
    <row r="382" spans="1:8" x14ac:dyDescent="0.25">
      <c r="A382" t="s">
        <v>2462</v>
      </c>
      <c r="B382" t="s">
        <v>2463</v>
      </c>
      <c r="C382" t="s">
        <v>2464</v>
      </c>
      <c r="D382" t="s">
        <v>1353</v>
      </c>
      <c r="E382" t="s">
        <v>1352</v>
      </c>
      <c r="F382" t="s">
        <v>1065</v>
      </c>
      <c r="G382" t="s">
        <v>1809</v>
      </c>
      <c r="H382" t="s">
        <v>1817</v>
      </c>
    </row>
    <row r="383" spans="1:8" x14ac:dyDescent="0.25">
      <c r="A383" t="s">
        <v>424</v>
      </c>
      <c r="B383" t="s">
        <v>1279</v>
      </c>
      <c r="C383" t="s">
        <v>1278</v>
      </c>
      <c r="D383" t="s">
        <v>1075</v>
      </c>
      <c r="E383" t="s">
        <v>889</v>
      </c>
      <c r="F383" t="s">
        <v>862</v>
      </c>
      <c r="G383" t="s">
        <v>1806</v>
      </c>
      <c r="H383" t="s">
        <v>1817</v>
      </c>
    </row>
    <row r="384" spans="1:8" x14ac:dyDescent="0.25">
      <c r="A384" t="s">
        <v>425</v>
      </c>
      <c r="B384" t="s">
        <v>1280</v>
      </c>
      <c r="C384" t="s">
        <v>908</v>
      </c>
      <c r="D384" t="s">
        <v>907</v>
      </c>
      <c r="E384" t="s">
        <v>838</v>
      </c>
      <c r="F384" t="s">
        <v>837</v>
      </c>
      <c r="G384" t="s">
        <v>1810</v>
      </c>
      <c r="H384" t="s">
        <v>1817</v>
      </c>
    </row>
    <row r="385" spans="1:8" x14ac:dyDescent="0.25">
      <c r="A385" t="s">
        <v>426</v>
      </c>
      <c r="B385" t="s">
        <v>1285</v>
      </c>
      <c r="C385" t="s">
        <v>1284</v>
      </c>
      <c r="D385" t="s">
        <v>1283</v>
      </c>
      <c r="E385" t="s">
        <v>1282</v>
      </c>
      <c r="F385" t="s">
        <v>1281</v>
      </c>
      <c r="G385" t="s">
        <v>1806</v>
      </c>
      <c r="H385" t="s">
        <v>1817</v>
      </c>
    </row>
    <row r="386" spans="1:8" x14ac:dyDescent="0.25">
      <c r="A386" t="s">
        <v>427</v>
      </c>
      <c r="B386" t="s">
        <v>1287</v>
      </c>
      <c r="C386" t="s">
        <v>1286</v>
      </c>
      <c r="D386" t="s">
        <v>871</v>
      </c>
      <c r="E386" t="s">
        <v>867</v>
      </c>
      <c r="F386" t="s">
        <v>849</v>
      </c>
      <c r="G386" t="s">
        <v>1806</v>
      </c>
      <c r="H386" t="s">
        <v>1817</v>
      </c>
    </row>
    <row r="387" spans="1:8" x14ac:dyDescent="0.25">
      <c r="A387" t="s">
        <v>428</v>
      </c>
      <c r="B387" t="s">
        <v>1290</v>
      </c>
      <c r="C387" t="s">
        <v>1289</v>
      </c>
      <c r="D387" t="s">
        <v>1288</v>
      </c>
      <c r="E387" t="s">
        <v>838</v>
      </c>
      <c r="F387" t="s">
        <v>837</v>
      </c>
      <c r="G387" t="s">
        <v>1810</v>
      </c>
      <c r="H387" t="s">
        <v>1817</v>
      </c>
    </row>
    <row r="388" spans="1:8" x14ac:dyDescent="0.25">
      <c r="A388" t="s">
        <v>429</v>
      </c>
      <c r="B388" t="s">
        <v>1292</v>
      </c>
      <c r="C388" t="s">
        <v>1291</v>
      </c>
      <c r="D388" t="s">
        <v>851</v>
      </c>
      <c r="E388" t="s">
        <v>850</v>
      </c>
      <c r="F388" t="s">
        <v>849</v>
      </c>
      <c r="G388" t="s">
        <v>1806</v>
      </c>
      <c r="H388" t="s">
        <v>1817</v>
      </c>
    </row>
    <row r="389" spans="1:8" x14ac:dyDescent="0.25">
      <c r="A389" t="s">
        <v>430</v>
      </c>
      <c r="B389" t="s">
        <v>1294</v>
      </c>
      <c r="C389" t="s">
        <v>1293</v>
      </c>
      <c r="D389" t="s">
        <v>868</v>
      </c>
      <c r="E389" t="s">
        <v>867</v>
      </c>
      <c r="F389" t="s">
        <v>849</v>
      </c>
      <c r="G389" t="s">
        <v>1806</v>
      </c>
      <c r="H389" t="s">
        <v>1817</v>
      </c>
    </row>
    <row r="390" spans="1:8" x14ac:dyDescent="0.25">
      <c r="A390" t="s">
        <v>431</v>
      </c>
      <c r="B390" t="s">
        <v>1296</v>
      </c>
      <c r="C390" t="s">
        <v>1295</v>
      </c>
      <c r="D390" t="s">
        <v>884</v>
      </c>
      <c r="E390" t="s">
        <v>867</v>
      </c>
      <c r="F390" t="s">
        <v>849</v>
      </c>
      <c r="G390" t="s">
        <v>1806</v>
      </c>
      <c r="H390" t="s">
        <v>1817</v>
      </c>
    </row>
    <row r="391" spans="1:8" x14ac:dyDescent="0.25">
      <c r="A391" t="s">
        <v>432</v>
      </c>
      <c r="B391" t="s">
        <v>1297</v>
      </c>
      <c r="C391" t="s">
        <v>895</v>
      </c>
      <c r="D391" t="s">
        <v>881</v>
      </c>
      <c r="E391" t="s">
        <v>880</v>
      </c>
      <c r="F391" t="s">
        <v>837</v>
      </c>
      <c r="G391" t="s">
        <v>1810</v>
      </c>
      <c r="H391" t="s">
        <v>1817</v>
      </c>
    </row>
    <row r="392" spans="1:8" x14ac:dyDescent="0.25">
      <c r="A392" t="s">
        <v>433</v>
      </c>
      <c r="B392" t="s">
        <v>1300</v>
      </c>
      <c r="C392" t="s">
        <v>1299</v>
      </c>
      <c r="D392" t="s">
        <v>1298</v>
      </c>
      <c r="E392" t="s">
        <v>880</v>
      </c>
      <c r="F392" t="s">
        <v>837</v>
      </c>
      <c r="G392" t="s">
        <v>1810</v>
      </c>
      <c r="H392" t="s">
        <v>1817</v>
      </c>
    </row>
    <row r="393" spans="1:8" x14ac:dyDescent="0.25">
      <c r="A393" t="s">
        <v>434</v>
      </c>
      <c r="B393" t="s">
        <v>1301</v>
      </c>
      <c r="C393" t="s">
        <v>908</v>
      </c>
      <c r="D393" t="s">
        <v>907</v>
      </c>
      <c r="E393" t="s">
        <v>838</v>
      </c>
      <c r="F393" t="s">
        <v>837</v>
      </c>
      <c r="G393" t="s">
        <v>1810</v>
      </c>
      <c r="H393" t="s">
        <v>1817</v>
      </c>
    </row>
    <row r="394" spans="1:8" x14ac:dyDescent="0.25">
      <c r="A394" t="s">
        <v>435</v>
      </c>
      <c r="B394" t="s">
        <v>1301</v>
      </c>
      <c r="C394" t="s">
        <v>908</v>
      </c>
      <c r="D394" t="s">
        <v>907</v>
      </c>
      <c r="E394" t="s">
        <v>838</v>
      </c>
      <c r="F394" t="s">
        <v>837</v>
      </c>
      <c r="G394" t="s">
        <v>1810</v>
      </c>
      <c r="H394" t="s">
        <v>1817</v>
      </c>
    </row>
    <row r="395" spans="1:8" x14ac:dyDescent="0.25">
      <c r="A395" t="s">
        <v>436</v>
      </c>
      <c r="B395" t="s">
        <v>1302</v>
      </c>
      <c r="C395" t="s">
        <v>908</v>
      </c>
      <c r="D395" t="s">
        <v>907</v>
      </c>
      <c r="E395" t="s">
        <v>838</v>
      </c>
      <c r="F395" t="s">
        <v>837</v>
      </c>
      <c r="G395" t="s">
        <v>1810</v>
      </c>
      <c r="H395" t="s">
        <v>1817</v>
      </c>
    </row>
    <row r="396" spans="1:8" x14ac:dyDescent="0.25">
      <c r="A396" t="s">
        <v>437</v>
      </c>
      <c r="B396" t="s">
        <v>1304</v>
      </c>
      <c r="C396" t="s">
        <v>1303</v>
      </c>
      <c r="D396" t="s">
        <v>1029</v>
      </c>
      <c r="E396" t="s">
        <v>867</v>
      </c>
      <c r="F396" t="s">
        <v>849</v>
      </c>
      <c r="G396" t="s">
        <v>1806</v>
      </c>
      <c r="H396" t="s">
        <v>1817</v>
      </c>
    </row>
    <row r="397" spans="1:8" x14ac:dyDescent="0.25">
      <c r="A397" t="s">
        <v>438</v>
      </c>
      <c r="B397" t="s">
        <v>1304</v>
      </c>
      <c r="C397" t="s">
        <v>1303</v>
      </c>
      <c r="D397" t="s">
        <v>1029</v>
      </c>
      <c r="E397" t="s">
        <v>867</v>
      </c>
      <c r="F397" t="s">
        <v>849</v>
      </c>
      <c r="G397" t="s">
        <v>1806</v>
      </c>
      <c r="H397" t="s">
        <v>1817</v>
      </c>
    </row>
    <row r="398" spans="1:8" x14ac:dyDescent="0.25">
      <c r="A398" t="s">
        <v>2465</v>
      </c>
      <c r="B398" t="s">
        <v>2466</v>
      </c>
      <c r="C398" t="s">
        <v>2467</v>
      </c>
      <c r="D398" t="s">
        <v>1190</v>
      </c>
      <c r="E398" t="s">
        <v>838</v>
      </c>
      <c r="F398" t="s">
        <v>837</v>
      </c>
      <c r="G398" t="s">
        <v>1810</v>
      </c>
      <c r="H398" t="s">
        <v>1817</v>
      </c>
    </row>
    <row r="399" spans="1:8" x14ac:dyDescent="0.25">
      <c r="A399" t="s">
        <v>439</v>
      </c>
      <c r="B399" t="s">
        <v>1306</v>
      </c>
      <c r="C399" t="s">
        <v>1305</v>
      </c>
      <c r="D399" t="s">
        <v>859</v>
      </c>
      <c r="E399" t="s">
        <v>858</v>
      </c>
      <c r="F399" t="s">
        <v>857</v>
      </c>
      <c r="G399" t="s">
        <v>1806</v>
      </c>
      <c r="H399" t="s">
        <v>1817</v>
      </c>
    </row>
    <row r="400" spans="1:8" x14ac:dyDescent="0.25">
      <c r="A400" t="s">
        <v>440</v>
      </c>
      <c r="B400" t="s">
        <v>1307</v>
      </c>
      <c r="C400" t="s">
        <v>1164</v>
      </c>
      <c r="D400" t="s">
        <v>868</v>
      </c>
      <c r="E400" t="s">
        <v>867</v>
      </c>
      <c r="F400" t="s">
        <v>849</v>
      </c>
      <c r="G400" t="s">
        <v>1806</v>
      </c>
      <c r="H400" t="s">
        <v>1817</v>
      </c>
    </row>
    <row r="401" spans="1:8" x14ac:dyDescent="0.25">
      <c r="A401" t="s">
        <v>441</v>
      </c>
      <c r="B401" t="s">
        <v>1308</v>
      </c>
      <c r="C401" t="s">
        <v>1003</v>
      </c>
      <c r="D401" t="s">
        <v>1002</v>
      </c>
      <c r="E401" t="s">
        <v>968</v>
      </c>
      <c r="F401" t="s">
        <v>862</v>
      </c>
      <c r="G401" t="s">
        <v>1806</v>
      </c>
      <c r="H401" t="s">
        <v>1817</v>
      </c>
    </row>
    <row r="402" spans="1:8" x14ac:dyDescent="0.25">
      <c r="A402" t="s">
        <v>442</v>
      </c>
      <c r="B402" t="s">
        <v>1309</v>
      </c>
      <c r="C402" t="s">
        <v>999</v>
      </c>
      <c r="D402" t="s">
        <v>924</v>
      </c>
      <c r="E402" t="s">
        <v>923</v>
      </c>
      <c r="F402" t="s">
        <v>862</v>
      </c>
      <c r="G402" t="s">
        <v>1806</v>
      </c>
      <c r="H402" t="s">
        <v>1817</v>
      </c>
    </row>
    <row r="403" spans="1:8" x14ac:dyDescent="0.25">
      <c r="A403" t="s">
        <v>443</v>
      </c>
      <c r="B403" t="s">
        <v>1310</v>
      </c>
      <c r="C403" t="s">
        <v>1295</v>
      </c>
      <c r="D403" t="s">
        <v>884</v>
      </c>
      <c r="E403" t="s">
        <v>867</v>
      </c>
      <c r="F403" t="s">
        <v>849</v>
      </c>
      <c r="G403" t="s">
        <v>1806</v>
      </c>
      <c r="H403" t="s">
        <v>1817</v>
      </c>
    </row>
    <row r="404" spans="1:8" x14ac:dyDescent="0.25">
      <c r="A404" t="s">
        <v>444</v>
      </c>
      <c r="B404" t="s">
        <v>1313</v>
      </c>
      <c r="C404" t="s">
        <v>1312</v>
      </c>
      <c r="D404" t="s">
        <v>1311</v>
      </c>
      <c r="E404" t="s">
        <v>838</v>
      </c>
      <c r="F404" t="s">
        <v>837</v>
      </c>
      <c r="G404" t="s">
        <v>1810</v>
      </c>
      <c r="H404" t="s">
        <v>1817</v>
      </c>
    </row>
    <row r="405" spans="1:8" x14ac:dyDescent="0.25">
      <c r="A405" t="s">
        <v>445</v>
      </c>
      <c r="B405" t="s">
        <v>1313</v>
      </c>
      <c r="C405" t="s">
        <v>1312</v>
      </c>
      <c r="D405" t="s">
        <v>1311</v>
      </c>
      <c r="E405" t="s">
        <v>838</v>
      </c>
      <c r="F405" t="s">
        <v>837</v>
      </c>
      <c r="G405" t="s">
        <v>1810</v>
      </c>
      <c r="H405" t="s">
        <v>1817</v>
      </c>
    </row>
    <row r="406" spans="1:8" x14ac:dyDescent="0.25">
      <c r="A406" t="s">
        <v>446</v>
      </c>
      <c r="B406" t="s">
        <v>1313</v>
      </c>
      <c r="C406" t="s">
        <v>1312</v>
      </c>
      <c r="D406" t="s">
        <v>1311</v>
      </c>
      <c r="E406" t="s">
        <v>838</v>
      </c>
      <c r="F406" t="s">
        <v>837</v>
      </c>
      <c r="G406" t="s">
        <v>1810</v>
      </c>
      <c r="H406" t="s">
        <v>1817</v>
      </c>
    </row>
    <row r="407" spans="1:8" x14ac:dyDescent="0.25">
      <c r="A407" t="s">
        <v>447</v>
      </c>
      <c r="B407" t="s">
        <v>1315</v>
      </c>
      <c r="C407" t="s">
        <v>1314</v>
      </c>
      <c r="D407" t="s">
        <v>1045</v>
      </c>
      <c r="E407" t="s">
        <v>968</v>
      </c>
      <c r="F407" t="s">
        <v>862</v>
      </c>
      <c r="G407" t="s">
        <v>1806</v>
      </c>
      <c r="H407" t="s">
        <v>1817</v>
      </c>
    </row>
    <row r="408" spans="1:8" x14ac:dyDescent="0.25">
      <c r="A408" t="s">
        <v>448</v>
      </c>
      <c r="B408" t="s">
        <v>1315</v>
      </c>
      <c r="C408" t="s">
        <v>1314</v>
      </c>
      <c r="D408" t="s">
        <v>1045</v>
      </c>
      <c r="E408" t="s">
        <v>968</v>
      </c>
      <c r="F408" t="s">
        <v>862</v>
      </c>
      <c r="G408" t="s">
        <v>1806</v>
      </c>
      <c r="H408" t="s">
        <v>1817</v>
      </c>
    </row>
    <row r="409" spans="1:8" x14ac:dyDescent="0.25">
      <c r="A409" t="s">
        <v>449</v>
      </c>
      <c r="B409" t="s">
        <v>1319</v>
      </c>
      <c r="C409" t="s">
        <v>1318</v>
      </c>
      <c r="D409" t="s">
        <v>1317</v>
      </c>
      <c r="E409" t="s">
        <v>1316</v>
      </c>
      <c r="F409" t="s">
        <v>978</v>
      </c>
      <c r="G409" t="s">
        <v>1809</v>
      </c>
      <c r="H409" t="s">
        <v>1817</v>
      </c>
    </row>
    <row r="410" spans="1:8" x14ac:dyDescent="0.25">
      <c r="A410" t="s">
        <v>450</v>
      </c>
      <c r="B410" t="s">
        <v>1321</v>
      </c>
      <c r="C410" t="s">
        <v>1320</v>
      </c>
      <c r="D410" t="s">
        <v>1178</v>
      </c>
      <c r="E410" t="s">
        <v>919</v>
      </c>
      <c r="F410" t="s">
        <v>918</v>
      </c>
      <c r="G410" t="s">
        <v>1806</v>
      </c>
      <c r="H410" t="s">
        <v>1817</v>
      </c>
    </row>
    <row r="411" spans="1:8" x14ac:dyDescent="0.25">
      <c r="A411" t="s">
        <v>451</v>
      </c>
      <c r="B411" t="s">
        <v>1782</v>
      </c>
      <c r="C411" t="s">
        <v>908</v>
      </c>
      <c r="D411" t="s">
        <v>838</v>
      </c>
      <c r="E411" t="s">
        <v>907</v>
      </c>
      <c r="F411" t="s">
        <v>837</v>
      </c>
      <c r="G411" t="s">
        <v>1810</v>
      </c>
    </row>
    <row r="412" spans="1:8" x14ac:dyDescent="0.25">
      <c r="A412" t="s">
        <v>452</v>
      </c>
      <c r="B412" t="s">
        <v>1322</v>
      </c>
      <c r="C412" t="s">
        <v>993</v>
      </c>
      <c r="D412" t="s">
        <v>868</v>
      </c>
      <c r="E412" t="s">
        <v>867</v>
      </c>
      <c r="F412" t="s">
        <v>849</v>
      </c>
      <c r="G412" t="s">
        <v>1806</v>
      </c>
      <c r="H412" t="s">
        <v>1817</v>
      </c>
    </row>
    <row r="413" spans="1:8" x14ac:dyDescent="0.25">
      <c r="A413" t="s">
        <v>453</v>
      </c>
      <c r="B413" t="s">
        <v>1324</v>
      </c>
      <c r="C413" t="s">
        <v>1323</v>
      </c>
      <c r="D413" t="s">
        <v>963</v>
      </c>
      <c r="E413" t="s">
        <v>838</v>
      </c>
      <c r="F413" t="s">
        <v>837</v>
      </c>
      <c r="G413" t="s">
        <v>1810</v>
      </c>
      <c r="H413" t="s">
        <v>1817</v>
      </c>
    </row>
    <row r="414" spans="1:8" x14ac:dyDescent="0.25">
      <c r="A414" t="s">
        <v>2468</v>
      </c>
      <c r="B414" t="s">
        <v>2469</v>
      </c>
      <c r="C414" t="s">
        <v>882</v>
      </c>
      <c r="D414" t="s">
        <v>881</v>
      </c>
      <c r="E414" t="s">
        <v>880</v>
      </c>
      <c r="F414" t="s">
        <v>837</v>
      </c>
      <c r="G414" t="s">
        <v>1810</v>
      </c>
      <c r="H414" t="s">
        <v>1817</v>
      </c>
    </row>
    <row r="415" spans="1:8" x14ac:dyDescent="0.25">
      <c r="A415" t="s">
        <v>454</v>
      </c>
      <c r="B415" t="s">
        <v>1326</v>
      </c>
      <c r="C415" t="s">
        <v>1325</v>
      </c>
      <c r="D415" t="s">
        <v>1029</v>
      </c>
      <c r="E415" t="s">
        <v>867</v>
      </c>
      <c r="F415" t="s">
        <v>849</v>
      </c>
      <c r="G415" t="s">
        <v>1806</v>
      </c>
      <c r="H415" t="s">
        <v>1817</v>
      </c>
    </row>
    <row r="416" spans="1:8" x14ac:dyDescent="0.25">
      <c r="A416" t="s">
        <v>455</v>
      </c>
      <c r="B416" t="s">
        <v>1783</v>
      </c>
      <c r="C416" t="s">
        <v>1848</v>
      </c>
      <c r="D416" t="s">
        <v>838</v>
      </c>
      <c r="E416" t="s">
        <v>1849</v>
      </c>
      <c r="F416" t="s">
        <v>837</v>
      </c>
      <c r="G416" t="s">
        <v>1810</v>
      </c>
    </row>
    <row r="417" spans="1:8" x14ac:dyDescent="0.25">
      <c r="A417" t="s">
        <v>456</v>
      </c>
      <c r="B417" t="s">
        <v>1327</v>
      </c>
      <c r="C417" t="s">
        <v>1193</v>
      </c>
      <c r="D417" t="s">
        <v>1111</v>
      </c>
      <c r="E417" t="s">
        <v>880</v>
      </c>
      <c r="F417" t="s">
        <v>837</v>
      </c>
      <c r="G417" t="s">
        <v>1810</v>
      </c>
      <c r="H417" t="s">
        <v>1817</v>
      </c>
    </row>
    <row r="418" spans="1:8" x14ac:dyDescent="0.25">
      <c r="A418" t="s">
        <v>457</v>
      </c>
      <c r="B418" t="s">
        <v>1328</v>
      </c>
      <c r="C418" t="s">
        <v>1312</v>
      </c>
      <c r="D418" t="s">
        <v>1311</v>
      </c>
      <c r="E418" t="s">
        <v>838</v>
      </c>
      <c r="F418" t="s">
        <v>837</v>
      </c>
      <c r="G418" t="s">
        <v>1810</v>
      </c>
      <c r="H418" t="s">
        <v>1817</v>
      </c>
    </row>
    <row r="419" spans="1:8" x14ac:dyDescent="0.25">
      <c r="A419" t="s">
        <v>458</v>
      </c>
      <c r="B419" t="s">
        <v>1329</v>
      </c>
      <c r="C419" t="s">
        <v>1072</v>
      </c>
      <c r="D419" t="s">
        <v>1002</v>
      </c>
      <c r="E419" t="s">
        <v>968</v>
      </c>
      <c r="F419" t="s">
        <v>862</v>
      </c>
      <c r="G419" t="s">
        <v>1806</v>
      </c>
      <c r="H419" t="s">
        <v>1817</v>
      </c>
    </row>
    <row r="420" spans="1:8" x14ac:dyDescent="0.25">
      <c r="A420" t="s">
        <v>459</v>
      </c>
      <c r="B420" t="s">
        <v>1330</v>
      </c>
      <c r="C420" t="s">
        <v>916</v>
      </c>
      <c r="D420" t="s">
        <v>915</v>
      </c>
      <c r="E420" t="s">
        <v>880</v>
      </c>
      <c r="F420" t="s">
        <v>837</v>
      </c>
      <c r="G420" t="s">
        <v>1810</v>
      </c>
      <c r="H420" t="s">
        <v>1817</v>
      </c>
    </row>
    <row r="421" spans="1:8" x14ac:dyDescent="0.25">
      <c r="A421" t="s">
        <v>460</v>
      </c>
      <c r="B421" t="s">
        <v>1330</v>
      </c>
      <c r="C421" t="s">
        <v>916</v>
      </c>
      <c r="D421" t="s">
        <v>838</v>
      </c>
      <c r="E421" t="s">
        <v>915</v>
      </c>
      <c r="F421" t="s">
        <v>837</v>
      </c>
      <c r="G421" t="s">
        <v>1810</v>
      </c>
    </row>
    <row r="422" spans="1:8" x14ac:dyDescent="0.25">
      <c r="A422" t="s">
        <v>2470</v>
      </c>
      <c r="B422" t="s">
        <v>2471</v>
      </c>
      <c r="C422" t="s">
        <v>2472</v>
      </c>
      <c r="D422" t="s">
        <v>1353</v>
      </c>
      <c r="E422" t="s">
        <v>1352</v>
      </c>
      <c r="F422" t="s">
        <v>1065</v>
      </c>
      <c r="G422" t="s">
        <v>1809</v>
      </c>
      <c r="H422" t="s">
        <v>1817</v>
      </c>
    </row>
    <row r="423" spans="1:8" x14ac:dyDescent="0.25">
      <c r="A423" t="s">
        <v>2473</v>
      </c>
      <c r="B423" t="s">
        <v>2474</v>
      </c>
      <c r="C423" t="s">
        <v>916</v>
      </c>
      <c r="D423" t="s">
        <v>915</v>
      </c>
      <c r="E423" t="s">
        <v>880</v>
      </c>
      <c r="F423" t="s">
        <v>837</v>
      </c>
      <c r="G423" t="s">
        <v>1810</v>
      </c>
      <c r="H423" t="s">
        <v>1817</v>
      </c>
    </row>
    <row r="424" spans="1:8" x14ac:dyDescent="0.25">
      <c r="A424" t="s">
        <v>461</v>
      </c>
      <c r="B424" t="s">
        <v>1331</v>
      </c>
      <c r="C424" t="s">
        <v>936</v>
      </c>
      <c r="D424" t="s">
        <v>884</v>
      </c>
      <c r="E424" t="s">
        <v>867</v>
      </c>
      <c r="F424" t="s">
        <v>849</v>
      </c>
      <c r="G424" t="s">
        <v>1806</v>
      </c>
      <c r="H424" t="s">
        <v>1817</v>
      </c>
    </row>
    <row r="425" spans="1:8" x14ac:dyDescent="0.25">
      <c r="A425" t="s">
        <v>2475</v>
      </c>
      <c r="B425" t="s">
        <v>2476</v>
      </c>
      <c r="C425" t="s">
        <v>2477</v>
      </c>
      <c r="D425" t="s">
        <v>1239</v>
      </c>
      <c r="E425" t="s">
        <v>838</v>
      </c>
      <c r="F425" t="s">
        <v>837</v>
      </c>
      <c r="G425" t="s">
        <v>1810</v>
      </c>
      <c r="H425" t="s">
        <v>1817</v>
      </c>
    </row>
    <row r="426" spans="1:8" x14ac:dyDescent="0.25">
      <c r="A426" t="s">
        <v>462</v>
      </c>
      <c r="B426" t="s">
        <v>1333</v>
      </c>
      <c r="C426" t="s">
        <v>1332</v>
      </c>
      <c r="D426" t="s">
        <v>1029</v>
      </c>
      <c r="E426" t="s">
        <v>867</v>
      </c>
      <c r="F426" t="s">
        <v>849</v>
      </c>
      <c r="G426" t="s">
        <v>1806</v>
      </c>
      <c r="H426" t="s">
        <v>1817</v>
      </c>
    </row>
    <row r="427" spans="1:8" x14ac:dyDescent="0.25">
      <c r="A427" t="s">
        <v>2478</v>
      </c>
      <c r="B427" t="s">
        <v>2479</v>
      </c>
      <c r="C427" t="s">
        <v>936</v>
      </c>
      <c r="D427" t="s">
        <v>884</v>
      </c>
      <c r="E427" t="s">
        <v>867</v>
      </c>
      <c r="F427" t="s">
        <v>849</v>
      </c>
      <c r="G427" t="s">
        <v>1806</v>
      </c>
      <c r="H427" t="s">
        <v>1817</v>
      </c>
    </row>
    <row r="428" spans="1:8" x14ac:dyDescent="0.25">
      <c r="A428" t="s">
        <v>463</v>
      </c>
      <c r="B428" t="s">
        <v>1335</v>
      </c>
      <c r="C428" t="s">
        <v>1334</v>
      </c>
      <c r="D428" t="s">
        <v>972</v>
      </c>
      <c r="E428" t="s">
        <v>968</v>
      </c>
      <c r="F428" t="s">
        <v>862</v>
      </c>
      <c r="G428" t="s">
        <v>1806</v>
      </c>
      <c r="H428" t="s">
        <v>1817</v>
      </c>
    </row>
    <row r="429" spans="1:8" x14ac:dyDescent="0.25">
      <c r="A429" t="s">
        <v>464</v>
      </c>
      <c r="B429" t="s">
        <v>1337</v>
      </c>
      <c r="C429" t="s">
        <v>1336</v>
      </c>
      <c r="D429" t="s">
        <v>924</v>
      </c>
      <c r="E429" t="s">
        <v>923</v>
      </c>
      <c r="F429" t="s">
        <v>862</v>
      </c>
      <c r="G429" t="s">
        <v>1806</v>
      </c>
      <c r="H429" t="s">
        <v>1817</v>
      </c>
    </row>
    <row r="430" spans="1:8" x14ac:dyDescent="0.25">
      <c r="A430" t="s">
        <v>465</v>
      </c>
      <c r="B430" t="s">
        <v>1339</v>
      </c>
      <c r="C430" t="s">
        <v>1338</v>
      </c>
      <c r="D430" t="s">
        <v>1175</v>
      </c>
      <c r="E430" t="s">
        <v>838</v>
      </c>
      <c r="F430" t="s">
        <v>837</v>
      </c>
      <c r="G430" t="s">
        <v>1810</v>
      </c>
      <c r="H430" t="s">
        <v>1817</v>
      </c>
    </row>
    <row r="431" spans="1:8" x14ac:dyDescent="0.25">
      <c r="A431" t="s">
        <v>466</v>
      </c>
      <c r="B431" t="s">
        <v>1339</v>
      </c>
      <c r="C431" t="s">
        <v>1338</v>
      </c>
      <c r="D431" t="s">
        <v>1175</v>
      </c>
      <c r="E431" t="s">
        <v>838</v>
      </c>
      <c r="F431" t="s">
        <v>837</v>
      </c>
      <c r="G431" t="s">
        <v>1810</v>
      </c>
      <c r="H431" t="s">
        <v>1817</v>
      </c>
    </row>
    <row r="432" spans="1:8" x14ac:dyDescent="0.25">
      <c r="A432" t="s">
        <v>2480</v>
      </c>
      <c r="B432" t="s">
        <v>2481</v>
      </c>
      <c r="C432" t="s">
        <v>916</v>
      </c>
      <c r="D432" t="s">
        <v>915</v>
      </c>
      <c r="E432" t="s">
        <v>880</v>
      </c>
      <c r="F432" t="s">
        <v>837</v>
      </c>
      <c r="G432" t="s">
        <v>1810</v>
      </c>
      <c r="H432" t="s">
        <v>1817</v>
      </c>
    </row>
    <row r="433" spans="1:8" x14ac:dyDescent="0.25">
      <c r="A433" t="s">
        <v>467</v>
      </c>
      <c r="B433" t="s">
        <v>1340</v>
      </c>
      <c r="C433" t="s">
        <v>843</v>
      </c>
      <c r="D433" t="s">
        <v>842</v>
      </c>
      <c r="E433" t="s">
        <v>838</v>
      </c>
      <c r="F433" t="s">
        <v>837</v>
      </c>
      <c r="G433" t="s">
        <v>1810</v>
      </c>
      <c r="H433" t="s">
        <v>1817</v>
      </c>
    </row>
    <row r="434" spans="1:8" x14ac:dyDescent="0.25">
      <c r="A434" t="s">
        <v>2775</v>
      </c>
      <c r="B434" t="s">
        <v>1343</v>
      </c>
      <c r="C434" t="s">
        <v>1342</v>
      </c>
      <c r="D434" t="s">
        <v>1341</v>
      </c>
      <c r="E434" t="s">
        <v>838</v>
      </c>
      <c r="F434" t="s">
        <v>837</v>
      </c>
      <c r="G434" t="s">
        <v>1810</v>
      </c>
      <c r="H434" t="s">
        <v>1820</v>
      </c>
    </row>
    <row r="435" spans="1:8" x14ac:dyDescent="0.25">
      <c r="A435" t="s">
        <v>468</v>
      </c>
      <c r="B435" t="s">
        <v>1343</v>
      </c>
      <c r="C435" t="s">
        <v>1342</v>
      </c>
      <c r="D435" t="s">
        <v>1341</v>
      </c>
      <c r="E435" t="s">
        <v>838</v>
      </c>
      <c r="F435" t="s">
        <v>837</v>
      </c>
      <c r="G435" t="s">
        <v>1810</v>
      </c>
      <c r="H435" t="s">
        <v>1817</v>
      </c>
    </row>
    <row r="436" spans="1:8" x14ac:dyDescent="0.25">
      <c r="A436" t="s">
        <v>469</v>
      </c>
      <c r="B436" t="s">
        <v>1343</v>
      </c>
      <c r="C436" t="s">
        <v>1342</v>
      </c>
      <c r="D436" t="s">
        <v>1341</v>
      </c>
      <c r="E436" t="s">
        <v>838</v>
      </c>
      <c r="F436" t="s">
        <v>837</v>
      </c>
      <c r="G436" t="s">
        <v>1810</v>
      </c>
      <c r="H436" t="s">
        <v>1817</v>
      </c>
    </row>
    <row r="437" spans="1:8" x14ac:dyDescent="0.25">
      <c r="A437" t="s">
        <v>470</v>
      </c>
      <c r="B437" t="s">
        <v>1344</v>
      </c>
      <c r="C437" t="s">
        <v>936</v>
      </c>
      <c r="D437" t="s">
        <v>884</v>
      </c>
      <c r="E437" t="s">
        <v>867</v>
      </c>
      <c r="F437" t="s">
        <v>849</v>
      </c>
      <c r="G437" t="s">
        <v>1806</v>
      </c>
      <c r="H437" t="s">
        <v>1819</v>
      </c>
    </row>
    <row r="438" spans="1:8" x14ac:dyDescent="0.25">
      <c r="A438" t="s">
        <v>471</v>
      </c>
      <c r="B438" t="s">
        <v>1344</v>
      </c>
      <c r="C438" t="s">
        <v>936</v>
      </c>
      <c r="D438" t="s">
        <v>884</v>
      </c>
      <c r="E438" t="s">
        <v>867</v>
      </c>
      <c r="F438" t="s">
        <v>849</v>
      </c>
      <c r="G438" t="s">
        <v>1806</v>
      </c>
      <c r="H438" t="s">
        <v>1817</v>
      </c>
    </row>
    <row r="439" spans="1:8" x14ac:dyDescent="0.25">
      <c r="A439" t="s">
        <v>472</v>
      </c>
      <c r="B439" t="s">
        <v>1344</v>
      </c>
      <c r="C439" t="s">
        <v>936</v>
      </c>
      <c r="D439" t="s">
        <v>884</v>
      </c>
      <c r="E439" t="s">
        <v>867</v>
      </c>
      <c r="F439" t="s">
        <v>849</v>
      </c>
      <c r="G439" t="s">
        <v>1806</v>
      </c>
      <c r="H439" t="s">
        <v>1817</v>
      </c>
    </row>
    <row r="440" spans="1:8" x14ac:dyDescent="0.25">
      <c r="A440" t="s">
        <v>2482</v>
      </c>
      <c r="B440" t="s">
        <v>2483</v>
      </c>
      <c r="C440" t="s">
        <v>1078</v>
      </c>
      <c r="D440" t="s">
        <v>881</v>
      </c>
      <c r="E440" t="s">
        <v>880</v>
      </c>
      <c r="F440" t="s">
        <v>837</v>
      </c>
      <c r="G440" t="s">
        <v>1810</v>
      </c>
      <c r="H440" t="s">
        <v>1817</v>
      </c>
    </row>
    <row r="441" spans="1:8" x14ac:dyDescent="0.25">
      <c r="A441" t="s">
        <v>473</v>
      </c>
      <c r="B441" t="s">
        <v>1345</v>
      </c>
      <c r="C441" t="s">
        <v>908</v>
      </c>
      <c r="D441" t="s">
        <v>907</v>
      </c>
      <c r="E441" t="s">
        <v>838</v>
      </c>
      <c r="F441" t="s">
        <v>837</v>
      </c>
      <c r="G441" t="s">
        <v>1810</v>
      </c>
      <c r="H441" t="s">
        <v>1817</v>
      </c>
    </row>
    <row r="442" spans="1:8" x14ac:dyDescent="0.25">
      <c r="A442" t="s">
        <v>474</v>
      </c>
      <c r="B442" t="s">
        <v>1346</v>
      </c>
      <c r="C442" t="s">
        <v>908</v>
      </c>
      <c r="D442" t="s">
        <v>907</v>
      </c>
      <c r="E442" t="s">
        <v>838</v>
      </c>
      <c r="F442" t="s">
        <v>837</v>
      </c>
      <c r="G442" t="s">
        <v>1810</v>
      </c>
      <c r="H442" t="s">
        <v>1817</v>
      </c>
    </row>
    <row r="443" spans="1:8" x14ac:dyDescent="0.25">
      <c r="A443" t="s">
        <v>2484</v>
      </c>
      <c r="B443" t="s">
        <v>1347</v>
      </c>
      <c r="C443" t="s">
        <v>1240</v>
      </c>
      <c r="D443" t="s">
        <v>1239</v>
      </c>
      <c r="E443" t="s">
        <v>838</v>
      </c>
      <c r="F443" t="s">
        <v>837</v>
      </c>
      <c r="G443" t="s">
        <v>1810</v>
      </c>
      <c r="H443" t="s">
        <v>1817</v>
      </c>
    </row>
    <row r="444" spans="1:8" x14ac:dyDescent="0.25">
      <c r="A444" t="s">
        <v>475</v>
      </c>
      <c r="B444" t="s">
        <v>1347</v>
      </c>
      <c r="C444" t="s">
        <v>1240</v>
      </c>
      <c r="D444" t="s">
        <v>1239</v>
      </c>
      <c r="E444" t="s">
        <v>838</v>
      </c>
      <c r="F444" t="s">
        <v>837</v>
      </c>
      <c r="G444" t="s">
        <v>1810</v>
      </c>
      <c r="H444" t="s">
        <v>1817</v>
      </c>
    </row>
    <row r="445" spans="1:8" x14ac:dyDescent="0.25">
      <c r="A445" t="s">
        <v>2485</v>
      </c>
      <c r="B445" t="s">
        <v>2486</v>
      </c>
      <c r="C445" t="s">
        <v>2487</v>
      </c>
      <c r="D445" t="s">
        <v>915</v>
      </c>
      <c r="E445" t="s">
        <v>880</v>
      </c>
      <c r="F445" t="s">
        <v>837</v>
      </c>
      <c r="G445" t="s">
        <v>1810</v>
      </c>
      <c r="H445" t="s">
        <v>1817</v>
      </c>
    </row>
    <row r="446" spans="1:8" x14ac:dyDescent="0.25">
      <c r="A446" t="s">
        <v>2488</v>
      </c>
      <c r="B446" t="s">
        <v>2489</v>
      </c>
      <c r="C446" t="s">
        <v>1144</v>
      </c>
      <c r="D446" t="s">
        <v>1143</v>
      </c>
      <c r="E446" t="s">
        <v>1142</v>
      </c>
      <c r="F446" t="s">
        <v>837</v>
      </c>
      <c r="G446" t="s">
        <v>1810</v>
      </c>
      <c r="H446" t="s">
        <v>1817</v>
      </c>
    </row>
    <row r="447" spans="1:8" x14ac:dyDescent="0.25">
      <c r="A447" t="s">
        <v>476</v>
      </c>
      <c r="B447" t="s">
        <v>1016</v>
      </c>
      <c r="C447" t="s">
        <v>1015</v>
      </c>
      <c r="D447" t="s">
        <v>1014</v>
      </c>
      <c r="E447" t="s">
        <v>838</v>
      </c>
      <c r="F447" t="s">
        <v>837</v>
      </c>
      <c r="G447" t="s">
        <v>1810</v>
      </c>
      <c r="H447" t="s">
        <v>1817</v>
      </c>
    </row>
    <row r="448" spans="1:8" x14ac:dyDescent="0.25">
      <c r="A448" t="s">
        <v>2490</v>
      </c>
      <c r="B448" t="s">
        <v>1016</v>
      </c>
      <c r="C448" t="s">
        <v>1015</v>
      </c>
      <c r="D448" t="s">
        <v>1014</v>
      </c>
      <c r="E448" t="s">
        <v>838</v>
      </c>
      <c r="F448" t="s">
        <v>837</v>
      </c>
      <c r="G448" t="s">
        <v>1810</v>
      </c>
      <c r="H448" t="s">
        <v>1817</v>
      </c>
    </row>
    <row r="449" spans="1:8" x14ac:dyDescent="0.25">
      <c r="A449" t="s">
        <v>2773</v>
      </c>
      <c r="B449" t="s">
        <v>1016</v>
      </c>
      <c r="C449" t="s">
        <v>1015</v>
      </c>
      <c r="D449" t="s">
        <v>1014</v>
      </c>
      <c r="E449" t="s">
        <v>838</v>
      </c>
      <c r="F449" t="s">
        <v>837</v>
      </c>
      <c r="G449" t="s">
        <v>1810</v>
      </c>
      <c r="H449" t="s">
        <v>1820</v>
      </c>
    </row>
    <row r="450" spans="1:8" x14ac:dyDescent="0.25">
      <c r="A450" t="s">
        <v>477</v>
      </c>
      <c r="B450" t="s">
        <v>1349</v>
      </c>
      <c r="C450" t="s">
        <v>1348</v>
      </c>
      <c r="D450" t="s">
        <v>1029</v>
      </c>
      <c r="E450" t="s">
        <v>867</v>
      </c>
      <c r="F450" t="s">
        <v>849</v>
      </c>
      <c r="G450" t="s">
        <v>1806</v>
      </c>
      <c r="H450" t="s">
        <v>1817</v>
      </c>
    </row>
    <row r="451" spans="1:8" x14ac:dyDescent="0.25">
      <c r="A451" t="s">
        <v>2491</v>
      </c>
      <c r="B451" t="s">
        <v>2492</v>
      </c>
      <c r="C451" t="s">
        <v>1527</v>
      </c>
      <c r="D451" t="s">
        <v>900</v>
      </c>
      <c r="E451" t="s">
        <v>838</v>
      </c>
      <c r="F451" t="s">
        <v>837</v>
      </c>
      <c r="G451" t="s">
        <v>1810</v>
      </c>
      <c r="H451" t="s">
        <v>1817</v>
      </c>
    </row>
    <row r="452" spans="1:8" x14ac:dyDescent="0.25">
      <c r="A452" t="s">
        <v>478</v>
      </c>
      <c r="B452" t="s">
        <v>1351</v>
      </c>
      <c r="C452" t="s">
        <v>1350</v>
      </c>
      <c r="D452" t="s">
        <v>924</v>
      </c>
      <c r="E452" t="s">
        <v>923</v>
      </c>
      <c r="F452" t="s">
        <v>862</v>
      </c>
      <c r="G452" t="s">
        <v>1806</v>
      </c>
      <c r="H452" t="s">
        <v>1817</v>
      </c>
    </row>
    <row r="453" spans="1:8" x14ac:dyDescent="0.25">
      <c r="A453" t="s">
        <v>479</v>
      </c>
      <c r="B453" t="s">
        <v>1355</v>
      </c>
      <c r="C453" t="s">
        <v>1354</v>
      </c>
      <c r="D453" t="s">
        <v>1353</v>
      </c>
      <c r="E453" t="s">
        <v>1352</v>
      </c>
      <c r="F453" t="s">
        <v>1065</v>
      </c>
      <c r="G453" t="s">
        <v>1809</v>
      </c>
      <c r="H453" t="s">
        <v>1817</v>
      </c>
    </row>
    <row r="454" spans="1:8" x14ac:dyDescent="0.25">
      <c r="A454" t="s">
        <v>2493</v>
      </c>
      <c r="B454" t="s">
        <v>2494</v>
      </c>
      <c r="C454" t="s">
        <v>908</v>
      </c>
      <c r="D454" t="s">
        <v>907</v>
      </c>
      <c r="E454" t="s">
        <v>838</v>
      </c>
      <c r="F454" t="s">
        <v>837</v>
      </c>
      <c r="G454" t="s">
        <v>1810</v>
      </c>
      <c r="H454" t="s">
        <v>1817</v>
      </c>
    </row>
    <row r="455" spans="1:8" x14ac:dyDescent="0.25">
      <c r="A455" t="s">
        <v>480</v>
      </c>
      <c r="B455" t="s">
        <v>1356</v>
      </c>
      <c r="C455" t="s">
        <v>1193</v>
      </c>
      <c r="D455" t="s">
        <v>1111</v>
      </c>
      <c r="E455" t="s">
        <v>880</v>
      </c>
      <c r="F455" t="s">
        <v>837</v>
      </c>
      <c r="G455" t="s">
        <v>1810</v>
      </c>
      <c r="H455" t="s">
        <v>1817</v>
      </c>
    </row>
    <row r="456" spans="1:8" x14ac:dyDescent="0.25">
      <c r="A456" t="s">
        <v>481</v>
      </c>
      <c r="B456" t="s">
        <v>1359</v>
      </c>
      <c r="C456" t="s">
        <v>1358</v>
      </c>
      <c r="D456" t="s">
        <v>1357</v>
      </c>
      <c r="E456" t="s">
        <v>889</v>
      </c>
      <c r="F456" t="s">
        <v>862</v>
      </c>
      <c r="G456" t="s">
        <v>1806</v>
      </c>
      <c r="H456" t="s">
        <v>1817</v>
      </c>
    </row>
    <row r="457" spans="1:8" x14ac:dyDescent="0.25">
      <c r="A457" t="s">
        <v>2495</v>
      </c>
      <c r="B457" t="s">
        <v>2496</v>
      </c>
      <c r="C457" t="s">
        <v>2497</v>
      </c>
      <c r="D457" t="s">
        <v>846</v>
      </c>
      <c r="E457" t="s">
        <v>838</v>
      </c>
      <c r="F457" t="s">
        <v>837</v>
      </c>
      <c r="G457" t="s">
        <v>1810</v>
      </c>
      <c r="H457" t="s">
        <v>1817</v>
      </c>
    </row>
    <row r="458" spans="1:8" x14ac:dyDescent="0.25">
      <c r="A458" t="s">
        <v>482</v>
      </c>
      <c r="B458" t="s">
        <v>1360</v>
      </c>
      <c r="C458" t="s">
        <v>999</v>
      </c>
      <c r="D458" t="s">
        <v>924</v>
      </c>
      <c r="E458" t="s">
        <v>923</v>
      </c>
      <c r="F458" t="s">
        <v>862</v>
      </c>
      <c r="G458" t="s">
        <v>1806</v>
      </c>
      <c r="H458" t="s">
        <v>1817</v>
      </c>
    </row>
    <row r="459" spans="1:8" x14ac:dyDescent="0.25">
      <c r="A459" t="s">
        <v>483</v>
      </c>
      <c r="B459" t="s">
        <v>1361</v>
      </c>
      <c r="C459" t="s">
        <v>1101</v>
      </c>
      <c r="D459" t="s">
        <v>846</v>
      </c>
      <c r="E459" t="s">
        <v>838</v>
      </c>
      <c r="F459" t="s">
        <v>837</v>
      </c>
      <c r="G459" t="s">
        <v>1810</v>
      </c>
      <c r="H459" t="s">
        <v>1817</v>
      </c>
    </row>
    <row r="460" spans="1:8" x14ac:dyDescent="0.25">
      <c r="A460" t="s">
        <v>484</v>
      </c>
      <c r="B460" t="s">
        <v>1361</v>
      </c>
      <c r="C460" t="s">
        <v>1101</v>
      </c>
      <c r="D460" t="s">
        <v>846</v>
      </c>
      <c r="E460" t="s">
        <v>838</v>
      </c>
      <c r="F460" t="s">
        <v>837</v>
      </c>
      <c r="G460" t="s">
        <v>1810</v>
      </c>
      <c r="H460" t="s">
        <v>1817</v>
      </c>
    </row>
    <row r="461" spans="1:8" x14ac:dyDescent="0.25">
      <c r="A461" t="s">
        <v>2498</v>
      </c>
      <c r="B461" t="s">
        <v>1784</v>
      </c>
      <c r="C461" t="s">
        <v>1554</v>
      </c>
      <c r="D461" t="s">
        <v>1143</v>
      </c>
      <c r="E461" t="s">
        <v>1142</v>
      </c>
      <c r="F461" t="s">
        <v>837</v>
      </c>
      <c r="G461" t="s">
        <v>1810</v>
      </c>
      <c r="H461" t="s">
        <v>1817</v>
      </c>
    </row>
    <row r="462" spans="1:8" x14ac:dyDescent="0.25">
      <c r="A462" t="s">
        <v>485</v>
      </c>
      <c r="B462" t="s">
        <v>1784</v>
      </c>
      <c r="C462" t="s">
        <v>1554</v>
      </c>
      <c r="D462" t="s">
        <v>1142</v>
      </c>
      <c r="E462" t="s">
        <v>1143</v>
      </c>
      <c r="F462" t="s">
        <v>837</v>
      </c>
      <c r="G462" t="s">
        <v>1810</v>
      </c>
    </row>
    <row r="463" spans="1:8" x14ac:dyDescent="0.25">
      <c r="A463" t="s">
        <v>486</v>
      </c>
      <c r="B463" t="s">
        <v>1362</v>
      </c>
      <c r="C463" t="s">
        <v>929</v>
      </c>
      <c r="D463" t="s">
        <v>928</v>
      </c>
      <c r="E463" t="s">
        <v>867</v>
      </c>
      <c r="F463" t="s">
        <v>849</v>
      </c>
      <c r="G463" t="s">
        <v>1806</v>
      </c>
      <c r="H463" t="s">
        <v>1817</v>
      </c>
    </row>
    <row r="464" spans="1:8" x14ac:dyDescent="0.25">
      <c r="A464" t="s">
        <v>2499</v>
      </c>
      <c r="B464" t="s">
        <v>2500</v>
      </c>
      <c r="C464" t="s">
        <v>1854</v>
      </c>
      <c r="D464" t="s">
        <v>1855</v>
      </c>
      <c r="E464" t="s">
        <v>838</v>
      </c>
      <c r="F464" t="s">
        <v>837</v>
      </c>
      <c r="G464" t="s">
        <v>1810</v>
      </c>
      <c r="H464" t="s">
        <v>1817</v>
      </c>
    </row>
    <row r="465" spans="1:8" x14ac:dyDescent="0.25">
      <c r="A465" t="s">
        <v>2501</v>
      </c>
      <c r="B465" t="s">
        <v>2500</v>
      </c>
      <c r="C465" t="s">
        <v>1854</v>
      </c>
      <c r="D465" t="s">
        <v>1855</v>
      </c>
      <c r="E465" t="s">
        <v>838</v>
      </c>
      <c r="F465" t="s">
        <v>837</v>
      </c>
      <c r="G465" t="s">
        <v>1810</v>
      </c>
      <c r="H465" t="s">
        <v>1817</v>
      </c>
    </row>
    <row r="466" spans="1:8" x14ac:dyDescent="0.25">
      <c r="A466" t="s">
        <v>2502</v>
      </c>
      <c r="B466" t="s">
        <v>2503</v>
      </c>
      <c r="C466" t="s">
        <v>929</v>
      </c>
      <c r="D466" t="s">
        <v>928</v>
      </c>
      <c r="E466" t="s">
        <v>867</v>
      </c>
      <c r="F466" t="s">
        <v>849</v>
      </c>
      <c r="G466" t="s">
        <v>1806</v>
      </c>
      <c r="H466" t="s">
        <v>1817</v>
      </c>
    </row>
    <row r="467" spans="1:8" x14ac:dyDescent="0.25">
      <c r="A467" t="s">
        <v>487</v>
      </c>
      <c r="B467" t="s">
        <v>1364</v>
      </c>
      <c r="C467" t="s">
        <v>1363</v>
      </c>
      <c r="D467" t="s">
        <v>1075</v>
      </c>
      <c r="E467" t="s">
        <v>889</v>
      </c>
      <c r="F467" t="s">
        <v>862</v>
      </c>
      <c r="G467" t="s">
        <v>1806</v>
      </c>
      <c r="H467" t="s">
        <v>1817</v>
      </c>
    </row>
    <row r="468" spans="1:8" x14ac:dyDescent="0.25">
      <c r="A468" t="s">
        <v>488</v>
      </c>
      <c r="B468" t="s">
        <v>1364</v>
      </c>
      <c r="C468" t="s">
        <v>1363</v>
      </c>
      <c r="D468" t="s">
        <v>1075</v>
      </c>
      <c r="E468" t="s">
        <v>889</v>
      </c>
      <c r="F468" t="s">
        <v>862</v>
      </c>
      <c r="G468" t="s">
        <v>1806</v>
      </c>
      <c r="H468" t="s">
        <v>1817</v>
      </c>
    </row>
    <row r="469" spans="1:8" x14ac:dyDescent="0.25">
      <c r="A469" t="s">
        <v>489</v>
      </c>
      <c r="B469" t="s">
        <v>1365</v>
      </c>
      <c r="C469" t="s">
        <v>1011</v>
      </c>
      <c r="D469" t="s">
        <v>884</v>
      </c>
      <c r="E469" t="s">
        <v>867</v>
      </c>
      <c r="F469" t="s">
        <v>849</v>
      </c>
      <c r="G469" t="s">
        <v>1806</v>
      </c>
      <c r="H469" t="s">
        <v>1817</v>
      </c>
    </row>
    <row r="470" spans="1:8" x14ac:dyDescent="0.25">
      <c r="A470" t="s">
        <v>490</v>
      </c>
      <c r="B470" t="s">
        <v>1367</v>
      </c>
      <c r="C470" t="s">
        <v>1366</v>
      </c>
      <c r="D470" t="s">
        <v>868</v>
      </c>
      <c r="E470" t="s">
        <v>867</v>
      </c>
      <c r="F470" t="s">
        <v>849</v>
      </c>
      <c r="G470" t="s">
        <v>1806</v>
      </c>
      <c r="H470" t="s">
        <v>1817</v>
      </c>
    </row>
    <row r="471" spans="1:8" x14ac:dyDescent="0.25">
      <c r="A471" t="s">
        <v>2504</v>
      </c>
      <c r="B471" t="s">
        <v>2505</v>
      </c>
      <c r="C471" t="s">
        <v>843</v>
      </c>
      <c r="D471" t="s">
        <v>842</v>
      </c>
      <c r="E471" t="s">
        <v>838</v>
      </c>
      <c r="F471" t="s">
        <v>837</v>
      </c>
      <c r="G471" t="s">
        <v>1810</v>
      </c>
      <c r="H471" t="s">
        <v>1817</v>
      </c>
    </row>
    <row r="472" spans="1:8" x14ac:dyDescent="0.25">
      <c r="A472" t="s">
        <v>491</v>
      </c>
      <c r="B472" t="s">
        <v>1368</v>
      </c>
      <c r="C472" t="s">
        <v>843</v>
      </c>
      <c r="D472" t="s">
        <v>842</v>
      </c>
      <c r="E472" t="s">
        <v>838</v>
      </c>
      <c r="F472" t="s">
        <v>837</v>
      </c>
      <c r="G472" t="s">
        <v>1810</v>
      </c>
      <c r="H472" t="s">
        <v>1817</v>
      </c>
    </row>
    <row r="473" spans="1:8" x14ac:dyDescent="0.25">
      <c r="A473" t="s">
        <v>492</v>
      </c>
      <c r="B473" t="s">
        <v>1369</v>
      </c>
      <c r="C473" t="s">
        <v>1255</v>
      </c>
      <c r="D473" t="s">
        <v>846</v>
      </c>
      <c r="E473" t="s">
        <v>838</v>
      </c>
      <c r="F473" t="s">
        <v>837</v>
      </c>
      <c r="G473" t="s">
        <v>1810</v>
      </c>
      <c r="H473" t="s">
        <v>1817</v>
      </c>
    </row>
    <row r="474" spans="1:8" x14ac:dyDescent="0.25">
      <c r="A474" t="s">
        <v>493</v>
      </c>
      <c r="B474" t="s">
        <v>1369</v>
      </c>
      <c r="C474" t="s">
        <v>1255</v>
      </c>
      <c r="D474" t="s">
        <v>846</v>
      </c>
      <c r="E474" t="s">
        <v>838</v>
      </c>
      <c r="F474" t="s">
        <v>837</v>
      </c>
      <c r="G474" t="s">
        <v>1810</v>
      </c>
      <c r="H474" t="s">
        <v>1817</v>
      </c>
    </row>
    <row r="475" spans="1:8" x14ac:dyDescent="0.25">
      <c r="A475" t="s">
        <v>494</v>
      </c>
      <c r="B475" t="s">
        <v>1369</v>
      </c>
      <c r="C475" t="s">
        <v>1255</v>
      </c>
      <c r="D475" t="s">
        <v>846</v>
      </c>
      <c r="E475" t="s">
        <v>838</v>
      </c>
      <c r="F475" t="s">
        <v>837</v>
      </c>
      <c r="G475" t="s">
        <v>1810</v>
      </c>
      <c r="H475" t="s">
        <v>1817</v>
      </c>
    </row>
    <row r="476" spans="1:8" x14ac:dyDescent="0.25">
      <c r="A476" t="s">
        <v>2506</v>
      </c>
      <c r="B476" t="s">
        <v>1369</v>
      </c>
      <c r="C476" t="s">
        <v>1255</v>
      </c>
      <c r="D476" t="s">
        <v>846</v>
      </c>
      <c r="E476" t="s">
        <v>838</v>
      </c>
      <c r="F476" t="s">
        <v>837</v>
      </c>
      <c r="G476" t="s">
        <v>1810</v>
      </c>
      <c r="H476" t="s">
        <v>1817</v>
      </c>
    </row>
    <row r="477" spans="1:8" x14ac:dyDescent="0.25">
      <c r="A477" t="s">
        <v>2507</v>
      </c>
      <c r="B477" t="s">
        <v>2508</v>
      </c>
      <c r="C477" t="s">
        <v>2509</v>
      </c>
      <c r="D477" t="s">
        <v>1111</v>
      </c>
      <c r="E477" t="s">
        <v>880</v>
      </c>
      <c r="F477" t="s">
        <v>837</v>
      </c>
      <c r="G477" t="s">
        <v>1810</v>
      </c>
      <c r="H477" t="s">
        <v>1817</v>
      </c>
    </row>
    <row r="478" spans="1:8" x14ac:dyDescent="0.25">
      <c r="A478" t="s">
        <v>495</v>
      </c>
      <c r="B478" t="s">
        <v>1372</v>
      </c>
      <c r="C478" t="s">
        <v>1371</v>
      </c>
      <c r="D478" t="s">
        <v>1370</v>
      </c>
      <c r="E478" t="s">
        <v>1124</v>
      </c>
      <c r="F478" t="s">
        <v>857</v>
      </c>
      <c r="G478" t="s">
        <v>1806</v>
      </c>
      <c r="H478" t="s">
        <v>1817</v>
      </c>
    </row>
    <row r="479" spans="1:8" x14ac:dyDescent="0.25">
      <c r="A479" t="s">
        <v>2510</v>
      </c>
      <c r="B479" t="s">
        <v>2511</v>
      </c>
      <c r="C479" t="s">
        <v>2512</v>
      </c>
      <c r="D479" t="s">
        <v>846</v>
      </c>
      <c r="E479" t="s">
        <v>838</v>
      </c>
      <c r="F479" t="s">
        <v>837</v>
      </c>
      <c r="G479" t="s">
        <v>1810</v>
      </c>
      <c r="H479" t="s">
        <v>1817</v>
      </c>
    </row>
    <row r="480" spans="1:8" x14ac:dyDescent="0.25">
      <c r="A480" t="s">
        <v>496</v>
      </c>
      <c r="B480" t="s">
        <v>1373</v>
      </c>
      <c r="C480" t="s">
        <v>929</v>
      </c>
      <c r="D480" t="s">
        <v>928</v>
      </c>
      <c r="E480" t="s">
        <v>867</v>
      </c>
      <c r="F480" t="s">
        <v>849</v>
      </c>
      <c r="G480" t="s">
        <v>1806</v>
      </c>
      <c r="H480" t="s">
        <v>1817</v>
      </c>
    </row>
    <row r="481" spans="1:8" x14ac:dyDescent="0.25">
      <c r="A481" t="s">
        <v>497</v>
      </c>
      <c r="B481" t="s">
        <v>1374</v>
      </c>
      <c r="C481" t="s">
        <v>905</v>
      </c>
      <c r="D481" t="s">
        <v>871</v>
      </c>
      <c r="E481" t="s">
        <v>867</v>
      </c>
      <c r="F481" t="s">
        <v>849</v>
      </c>
      <c r="G481" t="s">
        <v>1806</v>
      </c>
      <c r="H481" t="s">
        <v>1817</v>
      </c>
    </row>
    <row r="482" spans="1:8" x14ac:dyDescent="0.25">
      <c r="A482" t="s">
        <v>498</v>
      </c>
      <c r="B482" t="s">
        <v>1374</v>
      </c>
      <c r="C482" t="s">
        <v>905</v>
      </c>
      <c r="D482" t="s">
        <v>871</v>
      </c>
      <c r="E482" t="s">
        <v>867</v>
      </c>
      <c r="F482" t="s">
        <v>849</v>
      </c>
      <c r="G482" t="s">
        <v>1806</v>
      </c>
      <c r="H482" t="s">
        <v>1817</v>
      </c>
    </row>
    <row r="483" spans="1:8" x14ac:dyDescent="0.25">
      <c r="A483" t="s">
        <v>499</v>
      </c>
      <c r="B483" t="s">
        <v>1374</v>
      </c>
      <c r="C483" t="s">
        <v>905</v>
      </c>
      <c r="D483" t="s">
        <v>871</v>
      </c>
      <c r="E483" t="s">
        <v>867</v>
      </c>
      <c r="F483" t="s">
        <v>849</v>
      </c>
      <c r="G483" t="s">
        <v>1806</v>
      </c>
      <c r="H483" t="s">
        <v>1817</v>
      </c>
    </row>
    <row r="484" spans="1:8" x14ac:dyDescent="0.25">
      <c r="A484" t="s">
        <v>1821</v>
      </c>
      <c r="B484" t="s">
        <v>2513</v>
      </c>
      <c r="C484" t="s">
        <v>860</v>
      </c>
      <c r="D484" t="s">
        <v>859</v>
      </c>
      <c r="E484" t="s">
        <v>858</v>
      </c>
      <c r="F484" t="s">
        <v>857</v>
      </c>
      <c r="G484" t="s">
        <v>1806</v>
      </c>
      <c r="H484" t="s">
        <v>1817</v>
      </c>
    </row>
    <row r="485" spans="1:8" x14ac:dyDescent="0.25">
      <c r="A485" t="s">
        <v>500</v>
      </c>
      <c r="B485" t="s">
        <v>1376</v>
      </c>
      <c r="C485" t="s">
        <v>1375</v>
      </c>
      <c r="D485" t="s">
        <v>884</v>
      </c>
      <c r="E485" t="s">
        <v>867</v>
      </c>
      <c r="F485" t="s">
        <v>849</v>
      </c>
      <c r="G485" t="s">
        <v>1806</v>
      </c>
      <c r="H485" t="s">
        <v>1819</v>
      </c>
    </row>
    <row r="486" spans="1:8" x14ac:dyDescent="0.25">
      <c r="A486" t="s">
        <v>501</v>
      </c>
      <c r="B486" t="s">
        <v>1376</v>
      </c>
      <c r="C486" t="s">
        <v>1375</v>
      </c>
      <c r="D486" t="s">
        <v>884</v>
      </c>
      <c r="E486" t="s">
        <v>867</v>
      </c>
      <c r="F486" t="s">
        <v>849</v>
      </c>
      <c r="G486" t="s">
        <v>1806</v>
      </c>
      <c r="H486" t="s">
        <v>1819</v>
      </c>
    </row>
    <row r="487" spans="1:8" x14ac:dyDescent="0.25">
      <c r="A487" t="s">
        <v>502</v>
      </c>
      <c r="B487" t="s">
        <v>1377</v>
      </c>
      <c r="C487" t="s">
        <v>936</v>
      </c>
      <c r="D487" t="s">
        <v>884</v>
      </c>
      <c r="E487" t="s">
        <v>867</v>
      </c>
      <c r="F487" t="s">
        <v>849</v>
      </c>
      <c r="G487" t="s">
        <v>1806</v>
      </c>
      <c r="H487" t="s">
        <v>1817</v>
      </c>
    </row>
    <row r="488" spans="1:8" x14ac:dyDescent="0.25">
      <c r="A488" t="s">
        <v>503</v>
      </c>
      <c r="B488" t="s">
        <v>1379</v>
      </c>
      <c r="C488" t="s">
        <v>1378</v>
      </c>
      <c r="D488" t="s">
        <v>1207</v>
      </c>
      <c r="E488" t="s">
        <v>1206</v>
      </c>
      <c r="F488" t="s">
        <v>862</v>
      </c>
      <c r="G488" t="s">
        <v>1806</v>
      </c>
      <c r="H488" t="s">
        <v>1817</v>
      </c>
    </row>
    <row r="489" spans="1:8" x14ac:dyDescent="0.25">
      <c r="A489" t="s">
        <v>504</v>
      </c>
      <c r="B489" t="s">
        <v>1380</v>
      </c>
      <c r="C489" t="s">
        <v>1086</v>
      </c>
      <c r="D489" t="s">
        <v>1029</v>
      </c>
      <c r="E489" t="s">
        <v>867</v>
      </c>
      <c r="F489" t="s">
        <v>849</v>
      </c>
      <c r="G489" t="s">
        <v>1806</v>
      </c>
      <c r="H489" t="s">
        <v>1817</v>
      </c>
    </row>
    <row r="490" spans="1:8" x14ac:dyDescent="0.25">
      <c r="A490" t="s">
        <v>2514</v>
      </c>
      <c r="B490" t="s">
        <v>2515</v>
      </c>
      <c r="C490" t="s">
        <v>916</v>
      </c>
      <c r="D490" t="s">
        <v>915</v>
      </c>
      <c r="E490" t="s">
        <v>880</v>
      </c>
      <c r="F490" t="s">
        <v>837</v>
      </c>
      <c r="G490" t="s">
        <v>1810</v>
      </c>
      <c r="H490" t="s">
        <v>1817</v>
      </c>
    </row>
    <row r="491" spans="1:8" x14ac:dyDescent="0.25">
      <c r="A491" t="s">
        <v>505</v>
      </c>
      <c r="B491" t="s">
        <v>1383</v>
      </c>
      <c r="C491" t="s">
        <v>1382</v>
      </c>
      <c r="D491" t="s">
        <v>1381</v>
      </c>
      <c r="E491" t="s">
        <v>838</v>
      </c>
      <c r="F491" t="s">
        <v>837</v>
      </c>
      <c r="G491" t="s">
        <v>1810</v>
      </c>
      <c r="H491" t="s">
        <v>1817</v>
      </c>
    </row>
    <row r="492" spans="1:8" x14ac:dyDescent="0.25">
      <c r="A492" t="s">
        <v>506</v>
      </c>
      <c r="B492" t="s">
        <v>1385</v>
      </c>
      <c r="C492" t="s">
        <v>1384</v>
      </c>
      <c r="D492" t="s">
        <v>1107</v>
      </c>
      <c r="E492" t="s">
        <v>838</v>
      </c>
      <c r="F492" t="s">
        <v>837</v>
      </c>
      <c r="G492" t="s">
        <v>1810</v>
      </c>
      <c r="H492" t="s">
        <v>1817</v>
      </c>
    </row>
    <row r="493" spans="1:8" x14ac:dyDescent="0.25">
      <c r="A493" t="s">
        <v>507</v>
      </c>
      <c r="B493" t="s">
        <v>1385</v>
      </c>
      <c r="C493" t="s">
        <v>1384</v>
      </c>
      <c r="D493" t="s">
        <v>1107</v>
      </c>
      <c r="E493" t="s">
        <v>838</v>
      </c>
      <c r="F493" t="s">
        <v>837</v>
      </c>
      <c r="G493" t="s">
        <v>1810</v>
      </c>
      <c r="H493" t="s">
        <v>1817</v>
      </c>
    </row>
    <row r="494" spans="1:8" x14ac:dyDescent="0.25">
      <c r="A494" t="s">
        <v>508</v>
      </c>
      <c r="B494" t="s">
        <v>1385</v>
      </c>
      <c r="C494" t="s">
        <v>1384</v>
      </c>
      <c r="D494" t="s">
        <v>1107</v>
      </c>
      <c r="E494" t="s">
        <v>838</v>
      </c>
      <c r="F494" t="s">
        <v>837</v>
      </c>
      <c r="G494" t="s">
        <v>1810</v>
      </c>
      <c r="H494" t="s">
        <v>1817</v>
      </c>
    </row>
    <row r="495" spans="1:8" x14ac:dyDescent="0.25">
      <c r="A495" t="s">
        <v>509</v>
      </c>
      <c r="B495" t="s">
        <v>1386</v>
      </c>
      <c r="C495" t="s">
        <v>843</v>
      </c>
      <c r="D495" t="s">
        <v>842</v>
      </c>
      <c r="E495" t="s">
        <v>838</v>
      </c>
      <c r="F495" t="s">
        <v>837</v>
      </c>
      <c r="G495" t="s">
        <v>1810</v>
      </c>
      <c r="H495" t="s">
        <v>1817</v>
      </c>
    </row>
    <row r="496" spans="1:8" x14ac:dyDescent="0.25">
      <c r="A496" t="s">
        <v>510</v>
      </c>
      <c r="B496" t="s">
        <v>1386</v>
      </c>
      <c r="C496" t="s">
        <v>843</v>
      </c>
      <c r="D496" t="s">
        <v>842</v>
      </c>
      <c r="E496" t="s">
        <v>838</v>
      </c>
      <c r="F496" t="s">
        <v>837</v>
      </c>
      <c r="G496" t="s">
        <v>1810</v>
      </c>
      <c r="H496" t="s">
        <v>1817</v>
      </c>
    </row>
    <row r="497" spans="1:8" x14ac:dyDescent="0.25">
      <c r="A497" t="s">
        <v>511</v>
      </c>
      <c r="B497" t="s">
        <v>1388</v>
      </c>
      <c r="C497" t="s">
        <v>1387</v>
      </c>
      <c r="D497" t="s">
        <v>1341</v>
      </c>
      <c r="E497" t="s">
        <v>838</v>
      </c>
      <c r="F497" t="s">
        <v>837</v>
      </c>
      <c r="G497" t="s">
        <v>1810</v>
      </c>
      <c r="H497" t="s">
        <v>1817</v>
      </c>
    </row>
    <row r="498" spans="1:8" x14ac:dyDescent="0.25">
      <c r="A498" t="s">
        <v>2516</v>
      </c>
      <c r="B498" t="s">
        <v>2517</v>
      </c>
      <c r="C498" t="s">
        <v>2518</v>
      </c>
      <c r="D498" t="s">
        <v>868</v>
      </c>
      <c r="E498" t="s">
        <v>867</v>
      </c>
      <c r="F498" t="s">
        <v>849</v>
      </c>
      <c r="G498" t="s">
        <v>1806</v>
      </c>
      <c r="H498" t="s">
        <v>1817</v>
      </c>
    </row>
    <row r="499" spans="1:8" x14ac:dyDescent="0.25">
      <c r="A499" t="s">
        <v>512</v>
      </c>
      <c r="B499" t="s">
        <v>1389</v>
      </c>
      <c r="C499" t="s">
        <v>1332</v>
      </c>
      <c r="D499" t="s">
        <v>1029</v>
      </c>
      <c r="E499" t="s">
        <v>867</v>
      </c>
      <c r="F499" t="s">
        <v>849</v>
      </c>
      <c r="G499" t="s">
        <v>1806</v>
      </c>
      <c r="H499" t="s">
        <v>1817</v>
      </c>
    </row>
    <row r="500" spans="1:8" x14ac:dyDescent="0.25">
      <c r="A500" t="s">
        <v>513</v>
      </c>
      <c r="B500" t="s">
        <v>1389</v>
      </c>
      <c r="C500" t="s">
        <v>1332</v>
      </c>
      <c r="D500" t="s">
        <v>1029</v>
      </c>
      <c r="E500" t="s">
        <v>867</v>
      </c>
      <c r="F500" t="s">
        <v>849</v>
      </c>
      <c r="G500" t="s">
        <v>1806</v>
      </c>
      <c r="H500" t="s">
        <v>1817</v>
      </c>
    </row>
    <row r="501" spans="1:8" x14ac:dyDescent="0.25">
      <c r="A501" t="s">
        <v>514</v>
      </c>
      <c r="B501" t="s">
        <v>1390</v>
      </c>
      <c r="C501" t="s">
        <v>1112</v>
      </c>
      <c r="D501" t="s">
        <v>1111</v>
      </c>
      <c r="E501" t="s">
        <v>880</v>
      </c>
      <c r="F501" t="s">
        <v>837</v>
      </c>
      <c r="G501" t="s">
        <v>1810</v>
      </c>
      <c r="H501" t="s">
        <v>1817</v>
      </c>
    </row>
    <row r="502" spans="1:8" x14ac:dyDescent="0.25">
      <c r="A502" t="s">
        <v>515</v>
      </c>
      <c r="B502" t="s">
        <v>1392</v>
      </c>
      <c r="C502" t="s">
        <v>1391</v>
      </c>
      <c r="D502" t="s">
        <v>1107</v>
      </c>
      <c r="E502" t="s">
        <v>838</v>
      </c>
      <c r="F502" t="s">
        <v>837</v>
      </c>
      <c r="G502" t="s">
        <v>1810</v>
      </c>
      <c r="H502" t="s">
        <v>1817</v>
      </c>
    </row>
    <row r="503" spans="1:8" x14ac:dyDescent="0.25">
      <c r="A503" t="s">
        <v>516</v>
      </c>
      <c r="B503" t="s">
        <v>1393</v>
      </c>
      <c r="C503" t="s">
        <v>1230</v>
      </c>
      <c r="D503" t="s">
        <v>1229</v>
      </c>
      <c r="E503" t="s">
        <v>968</v>
      </c>
      <c r="F503" t="s">
        <v>862</v>
      </c>
      <c r="G503" t="s">
        <v>1806</v>
      </c>
      <c r="H503" t="s">
        <v>1817</v>
      </c>
    </row>
    <row r="504" spans="1:8" x14ac:dyDescent="0.25">
      <c r="A504" t="s">
        <v>517</v>
      </c>
      <c r="B504" t="s">
        <v>1395</v>
      </c>
      <c r="C504" t="s">
        <v>1394</v>
      </c>
      <c r="D504" t="s">
        <v>868</v>
      </c>
      <c r="E504" t="s">
        <v>867</v>
      </c>
      <c r="F504" t="s">
        <v>849</v>
      </c>
      <c r="G504" t="s">
        <v>1806</v>
      </c>
      <c r="H504" t="s">
        <v>1817</v>
      </c>
    </row>
    <row r="505" spans="1:8" x14ac:dyDescent="0.25">
      <c r="A505" t="s">
        <v>518</v>
      </c>
      <c r="B505" t="s">
        <v>1398</v>
      </c>
      <c r="C505" t="s">
        <v>1397</v>
      </c>
      <c r="D505" t="s">
        <v>1396</v>
      </c>
      <c r="E505" t="s">
        <v>1124</v>
      </c>
      <c r="F505" t="s">
        <v>857</v>
      </c>
      <c r="G505" t="s">
        <v>1806</v>
      </c>
      <c r="H505" t="s">
        <v>1817</v>
      </c>
    </row>
    <row r="506" spans="1:8" x14ac:dyDescent="0.25">
      <c r="A506" t="s">
        <v>2519</v>
      </c>
      <c r="B506" t="s">
        <v>2520</v>
      </c>
      <c r="C506" t="s">
        <v>2521</v>
      </c>
      <c r="D506" t="s">
        <v>2522</v>
      </c>
      <c r="E506" t="s">
        <v>2523</v>
      </c>
      <c r="F506" t="s">
        <v>2524</v>
      </c>
      <c r="G506" t="s">
        <v>2290</v>
      </c>
      <c r="H506" t="s">
        <v>1817</v>
      </c>
    </row>
    <row r="507" spans="1:8" x14ac:dyDescent="0.25">
      <c r="A507" t="s">
        <v>519</v>
      </c>
      <c r="B507" t="s">
        <v>1399</v>
      </c>
      <c r="C507" t="s">
        <v>1050</v>
      </c>
      <c r="D507" t="s">
        <v>900</v>
      </c>
      <c r="E507" t="s">
        <v>838</v>
      </c>
      <c r="F507" t="s">
        <v>837</v>
      </c>
      <c r="G507" t="s">
        <v>1810</v>
      </c>
      <c r="H507" t="s">
        <v>1817</v>
      </c>
    </row>
    <row r="508" spans="1:8" x14ac:dyDescent="0.25">
      <c r="A508" t="s">
        <v>520</v>
      </c>
      <c r="B508" t="s">
        <v>1401</v>
      </c>
      <c r="C508" t="s">
        <v>1400</v>
      </c>
      <c r="D508" t="s">
        <v>924</v>
      </c>
      <c r="E508" t="s">
        <v>923</v>
      </c>
      <c r="F508" t="s">
        <v>862</v>
      </c>
      <c r="G508" t="s">
        <v>1806</v>
      </c>
      <c r="H508" t="s">
        <v>1817</v>
      </c>
    </row>
    <row r="509" spans="1:8" x14ac:dyDescent="0.25">
      <c r="A509" t="s">
        <v>2525</v>
      </c>
      <c r="B509" t="s">
        <v>2526</v>
      </c>
      <c r="C509" t="s">
        <v>840</v>
      </c>
      <c r="D509" t="s">
        <v>839</v>
      </c>
      <c r="E509" t="s">
        <v>838</v>
      </c>
      <c r="F509" t="s">
        <v>837</v>
      </c>
      <c r="G509" t="s">
        <v>1810</v>
      </c>
      <c r="H509" t="s">
        <v>1817</v>
      </c>
    </row>
    <row r="510" spans="1:8" x14ac:dyDescent="0.25">
      <c r="A510" t="s">
        <v>2527</v>
      </c>
      <c r="B510" t="s">
        <v>2528</v>
      </c>
      <c r="C510" t="s">
        <v>1402</v>
      </c>
      <c r="D510" t="s">
        <v>868</v>
      </c>
      <c r="E510" t="s">
        <v>867</v>
      </c>
      <c r="F510" t="s">
        <v>849</v>
      </c>
      <c r="G510" t="s">
        <v>1806</v>
      </c>
      <c r="H510" t="s">
        <v>1817</v>
      </c>
    </row>
    <row r="511" spans="1:8" x14ac:dyDescent="0.25">
      <c r="A511" t="s">
        <v>2529</v>
      </c>
      <c r="B511" t="s">
        <v>2530</v>
      </c>
      <c r="C511" t="s">
        <v>2497</v>
      </c>
      <c r="D511" t="s">
        <v>846</v>
      </c>
      <c r="E511" t="s">
        <v>838</v>
      </c>
      <c r="F511" t="s">
        <v>837</v>
      </c>
      <c r="G511" t="s">
        <v>1810</v>
      </c>
      <c r="H511" t="s">
        <v>1817</v>
      </c>
    </row>
    <row r="512" spans="1:8" x14ac:dyDescent="0.25">
      <c r="A512" t="s">
        <v>521</v>
      </c>
      <c r="B512" t="s">
        <v>1403</v>
      </c>
      <c r="C512" t="s">
        <v>1402</v>
      </c>
      <c r="D512" t="s">
        <v>868</v>
      </c>
      <c r="E512" t="s">
        <v>867</v>
      </c>
      <c r="F512" t="s">
        <v>849</v>
      </c>
      <c r="G512" t="s">
        <v>1806</v>
      </c>
      <c r="H512" t="s">
        <v>1817</v>
      </c>
    </row>
    <row r="513" spans="1:8" x14ac:dyDescent="0.25">
      <c r="A513" t="s">
        <v>522</v>
      </c>
      <c r="B513" t="s">
        <v>1405</v>
      </c>
      <c r="C513" t="s">
        <v>1404</v>
      </c>
      <c r="D513" t="s">
        <v>1080</v>
      </c>
      <c r="E513" t="s">
        <v>923</v>
      </c>
      <c r="F513" t="s">
        <v>862</v>
      </c>
      <c r="G513" t="s">
        <v>1806</v>
      </c>
      <c r="H513" t="s">
        <v>1817</v>
      </c>
    </row>
    <row r="514" spans="1:8" x14ac:dyDescent="0.25">
      <c r="A514" t="s">
        <v>523</v>
      </c>
      <c r="B514" t="s">
        <v>1405</v>
      </c>
      <c r="C514" t="s">
        <v>1404</v>
      </c>
      <c r="D514" t="s">
        <v>1080</v>
      </c>
      <c r="E514" t="s">
        <v>923</v>
      </c>
      <c r="F514" t="s">
        <v>862</v>
      </c>
      <c r="G514" t="s">
        <v>1806</v>
      </c>
      <c r="H514" t="s">
        <v>1817</v>
      </c>
    </row>
    <row r="515" spans="1:8" x14ac:dyDescent="0.25">
      <c r="A515" t="s">
        <v>2531</v>
      </c>
      <c r="B515" t="s">
        <v>2532</v>
      </c>
      <c r="C515" t="s">
        <v>1658</v>
      </c>
      <c r="D515" t="s">
        <v>871</v>
      </c>
      <c r="E515" t="s">
        <v>867</v>
      </c>
      <c r="F515" t="s">
        <v>849</v>
      </c>
      <c r="G515" t="s">
        <v>1806</v>
      </c>
      <c r="H515" t="s">
        <v>1817</v>
      </c>
    </row>
    <row r="516" spans="1:8" x14ac:dyDescent="0.25">
      <c r="A516" t="s">
        <v>524</v>
      </c>
      <c r="B516" t="s">
        <v>1406</v>
      </c>
      <c r="C516" t="s">
        <v>1236</v>
      </c>
      <c r="D516" t="s">
        <v>1107</v>
      </c>
      <c r="E516" t="s">
        <v>838</v>
      </c>
      <c r="F516" t="s">
        <v>837</v>
      </c>
      <c r="G516" t="s">
        <v>1810</v>
      </c>
      <c r="H516" t="s">
        <v>1817</v>
      </c>
    </row>
    <row r="517" spans="1:8" x14ac:dyDescent="0.25">
      <c r="A517" t="s">
        <v>525</v>
      </c>
      <c r="B517" t="s">
        <v>1785</v>
      </c>
      <c r="C517" t="s">
        <v>1850</v>
      </c>
      <c r="D517" t="s">
        <v>1316</v>
      </c>
      <c r="E517" t="s">
        <v>1851</v>
      </c>
      <c r="F517" t="s">
        <v>978</v>
      </c>
      <c r="G517" t="s">
        <v>1809</v>
      </c>
    </row>
    <row r="518" spans="1:8" x14ac:dyDescent="0.25">
      <c r="A518" t="s">
        <v>526</v>
      </c>
      <c r="B518" t="s">
        <v>1409</v>
      </c>
      <c r="C518" t="s">
        <v>1408</v>
      </c>
      <c r="D518" t="s">
        <v>1407</v>
      </c>
      <c r="E518" t="s">
        <v>863</v>
      </c>
      <c r="F518" t="s">
        <v>862</v>
      </c>
      <c r="G518" t="s">
        <v>1806</v>
      </c>
      <c r="H518" t="s">
        <v>1817</v>
      </c>
    </row>
    <row r="519" spans="1:8" x14ac:dyDescent="0.25">
      <c r="A519" t="s">
        <v>527</v>
      </c>
      <c r="B519" t="s">
        <v>1411</v>
      </c>
      <c r="C519" t="s">
        <v>1410</v>
      </c>
      <c r="D519" t="s">
        <v>854</v>
      </c>
      <c r="E519" t="s">
        <v>838</v>
      </c>
      <c r="F519" t="s">
        <v>837</v>
      </c>
      <c r="G519" t="s">
        <v>1810</v>
      </c>
      <c r="H519" t="s">
        <v>1817</v>
      </c>
    </row>
    <row r="520" spans="1:8" x14ac:dyDescent="0.25">
      <c r="A520" t="s">
        <v>2533</v>
      </c>
      <c r="B520" t="s">
        <v>2534</v>
      </c>
      <c r="C520" t="s">
        <v>916</v>
      </c>
      <c r="D520" t="s">
        <v>915</v>
      </c>
      <c r="E520" t="s">
        <v>880</v>
      </c>
      <c r="F520" t="s">
        <v>837</v>
      </c>
      <c r="G520" t="s">
        <v>1810</v>
      </c>
      <c r="H520" t="s">
        <v>1817</v>
      </c>
    </row>
    <row r="521" spans="1:8" x14ac:dyDescent="0.25">
      <c r="A521" t="s">
        <v>528</v>
      </c>
      <c r="B521" t="s">
        <v>1414</v>
      </c>
      <c r="C521" t="s">
        <v>1413</v>
      </c>
      <c r="D521" t="s">
        <v>1412</v>
      </c>
      <c r="E521" t="s">
        <v>919</v>
      </c>
      <c r="F521" t="s">
        <v>918</v>
      </c>
      <c r="G521" t="s">
        <v>1806</v>
      </c>
      <c r="H521" t="s">
        <v>1817</v>
      </c>
    </row>
    <row r="522" spans="1:8" x14ac:dyDescent="0.25">
      <c r="A522" t="s">
        <v>529</v>
      </c>
      <c r="B522" t="s">
        <v>1415</v>
      </c>
      <c r="C522" t="s">
        <v>1050</v>
      </c>
      <c r="D522" t="s">
        <v>900</v>
      </c>
      <c r="E522" t="s">
        <v>838</v>
      </c>
      <c r="F522" t="s">
        <v>837</v>
      </c>
      <c r="G522" t="s">
        <v>1810</v>
      </c>
      <c r="H522" t="s">
        <v>1817</v>
      </c>
    </row>
    <row r="523" spans="1:8" x14ac:dyDescent="0.25">
      <c r="A523" t="s">
        <v>530</v>
      </c>
      <c r="B523" t="s">
        <v>1415</v>
      </c>
      <c r="C523" t="s">
        <v>1050</v>
      </c>
      <c r="D523" t="s">
        <v>900</v>
      </c>
      <c r="E523" t="s">
        <v>838</v>
      </c>
      <c r="F523" t="s">
        <v>837</v>
      </c>
      <c r="G523" t="s">
        <v>1810</v>
      </c>
      <c r="H523" t="s">
        <v>1817</v>
      </c>
    </row>
    <row r="524" spans="1:8" x14ac:dyDescent="0.25">
      <c r="A524" t="s">
        <v>531</v>
      </c>
      <c r="B524" t="s">
        <v>1416</v>
      </c>
      <c r="C524" t="s">
        <v>946</v>
      </c>
      <c r="D524" t="s">
        <v>868</v>
      </c>
      <c r="E524" t="s">
        <v>867</v>
      </c>
      <c r="F524" t="s">
        <v>849</v>
      </c>
      <c r="G524" t="s">
        <v>1806</v>
      </c>
      <c r="H524" t="s">
        <v>1817</v>
      </c>
    </row>
    <row r="525" spans="1:8" x14ac:dyDescent="0.25">
      <c r="A525" t="s">
        <v>532</v>
      </c>
      <c r="B525" t="s">
        <v>1417</v>
      </c>
      <c r="C525" t="s">
        <v>1108</v>
      </c>
      <c r="D525" t="s">
        <v>1107</v>
      </c>
      <c r="E525" t="s">
        <v>838</v>
      </c>
      <c r="F525" t="s">
        <v>837</v>
      </c>
      <c r="G525" t="s">
        <v>1810</v>
      </c>
      <c r="H525" t="s">
        <v>1817</v>
      </c>
    </row>
    <row r="526" spans="1:8" x14ac:dyDescent="0.25">
      <c r="A526" t="s">
        <v>2535</v>
      </c>
      <c r="B526" t="s">
        <v>1417</v>
      </c>
      <c r="C526" t="s">
        <v>1108</v>
      </c>
      <c r="D526" t="s">
        <v>1107</v>
      </c>
      <c r="E526" t="s">
        <v>838</v>
      </c>
      <c r="F526" t="s">
        <v>837</v>
      </c>
      <c r="G526" t="s">
        <v>1810</v>
      </c>
      <c r="H526" t="s">
        <v>1817</v>
      </c>
    </row>
    <row r="527" spans="1:8" x14ac:dyDescent="0.25">
      <c r="A527" t="s">
        <v>2536</v>
      </c>
      <c r="B527" t="s">
        <v>1417</v>
      </c>
      <c r="C527" t="s">
        <v>1108</v>
      </c>
      <c r="D527" t="s">
        <v>1107</v>
      </c>
      <c r="E527" t="s">
        <v>838</v>
      </c>
      <c r="F527" t="s">
        <v>837</v>
      </c>
      <c r="G527" t="s">
        <v>1810</v>
      </c>
      <c r="H527" t="s">
        <v>1817</v>
      </c>
    </row>
    <row r="528" spans="1:8" x14ac:dyDescent="0.25">
      <c r="A528" t="s">
        <v>533</v>
      </c>
      <c r="B528" t="s">
        <v>1418</v>
      </c>
      <c r="C528" t="s">
        <v>1363</v>
      </c>
      <c r="D528" t="s">
        <v>1075</v>
      </c>
      <c r="E528" t="s">
        <v>889</v>
      </c>
      <c r="F528" t="s">
        <v>862</v>
      </c>
      <c r="G528" t="s">
        <v>1806</v>
      </c>
      <c r="H528" t="s">
        <v>1817</v>
      </c>
    </row>
    <row r="529" spans="1:8" x14ac:dyDescent="0.25">
      <c r="A529" t="s">
        <v>534</v>
      </c>
      <c r="B529" t="s">
        <v>1418</v>
      </c>
      <c r="C529" t="s">
        <v>1363</v>
      </c>
      <c r="D529" t="s">
        <v>1075</v>
      </c>
      <c r="E529" t="s">
        <v>889</v>
      </c>
      <c r="F529" t="s">
        <v>862</v>
      </c>
      <c r="G529" t="s">
        <v>1806</v>
      </c>
      <c r="H529" t="s">
        <v>1817</v>
      </c>
    </row>
    <row r="530" spans="1:8" x14ac:dyDescent="0.25">
      <c r="A530" t="s">
        <v>535</v>
      </c>
      <c r="B530" t="s">
        <v>1419</v>
      </c>
      <c r="C530" t="s">
        <v>908</v>
      </c>
      <c r="D530" t="s">
        <v>907</v>
      </c>
      <c r="E530" t="s">
        <v>838</v>
      </c>
      <c r="F530" t="s">
        <v>837</v>
      </c>
      <c r="G530" t="s">
        <v>1810</v>
      </c>
      <c r="H530" t="s">
        <v>1817</v>
      </c>
    </row>
    <row r="531" spans="1:8" x14ac:dyDescent="0.25">
      <c r="A531" t="s">
        <v>2537</v>
      </c>
      <c r="B531" t="s">
        <v>1420</v>
      </c>
      <c r="C531" t="s">
        <v>843</v>
      </c>
      <c r="D531" t="s">
        <v>842</v>
      </c>
      <c r="E531" t="s">
        <v>838</v>
      </c>
      <c r="F531" t="s">
        <v>837</v>
      </c>
      <c r="G531" t="s">
        <v>1810</v>
      </c>
      <c r="H531" t="s">
        <v>1817</v>
      </c>
    </row>
    <row r="532" spans="1:8" x14ac:dyDescent="0.25">
      <c r="A532" t="s">
        <v>536</v>
      </c>
      <c r="B532" t="s">
        <v>1420</v>
      </c>
      <c r="C532" t="s">
        <v>843</v>
      </c>
      <c r="D532" t="s">
        <v>842</v>
      </c>
      <c r="E532" t="s">
        <v>838</v>
      </c>
      <c r="F532" t="s">
        <v>837</v>
      </c>
      <c r="G532" t="s">
        <v>1810</v>
      </c>
      <c r="H532" t="s">
        <v>1817</v>
      </c>
    </row>
    <row r="533" spans="1:8" x14ac:dyDescent="0.25">
      <c r="A533" t="s">
        <v>537</v>
      </c>
      <c r="B533" t="s">
        <v>1422</v>
      </c>
      <c r="C533" t="s">
        <v>1421</v>
      </c>
      <c r="D533" t="s">
        <v>900</v>
      </c>
      <c r="E533" t="s">
        <v>838</v>
      </c>
      <c r="F533" t="s">
        <v>837</v>
      </c>
      <c r="G533" t="s">
        <v>1810</v>
      </c>
      <c r="H533" t="s">
        <v>1817</v>
      </c>
    </row>
    <row r="534" spans="1:8" x14ac:dyDescent="0.25">
      <c r="A534" t="s">
        <v>538</v>
      </c>
      <c r="B534" t="s">
        <v>1424</v>
      </c>
      <c r="C534" t="s">
        <v>1423</v>
      </c>
      <c r="D534" t="s">
        <v>890</v>
      </c>
      <c r="E534" t="s">
        <v>889</v>
      </c>
      <c r="F534" t="s">
        <v>862</v>
      </c>
      <c r="G534" t="s">
        <v>1806</v>
      </c>
      <c r="H534" t="s">
        <v>1817</v>
      </c>
    </row>
    <row r="535" spans="1:8" x14ac:dyDescent="0.25">
      <c r="A535" t="s">
        <v>539</v>
      </c>
      <c r="B535" t="s">
        <v>1429</v>
      </c>
      <c r="C535" t="s">
        <v>1428</v>
      </c>
      <c r="D535" t="s">
        <v>1427</v>
      </c>
      <c r="E535" t="s">
        <v>1426</v>
      </c>
      <c r="F535" t="s">
        <v>1425</v>
      </c>
      <c r="G535" t="s">
        <v>1806</v>
      </c>
      <c r="H535" t="s">
        <v>1817</v>
      </c>
    </row>
    <row r="536" spans="1:8" x14ac:dyDescent="0.25">
      <c r="A536" t="s">
        <v>540</v>
      </c>
      <c r="B536" t="s">
        <v>1430</v>
      </c>
      <c r="C536" t="s">
        <v>931</v>
      </c>
      <c r="D536" t="s">
        <v>884</v>
      </c>
      <c r="E536" t="s">
        <v>867</v>
      </c>
      <c r="F536" t="s">
        <v>849</v>
      </c>
      <c r="G536" t="s">
        <v>1806</v>
      </c>
      <c r="H536" t="s">
        <v>1817</v>
      </c>
    </row>
    <row r="537" spans="1:8" x14ac:dyDescent="0.25">
      <c r="A537" t="s">
        <v>541</v>
      </c>
      <c r="B537" t="s">
        <v>1430</v>
      </c>
      <c r="C537" t="s">
        <v>931</v>
      </c>
      <c r="D537" t="s">
        <v>884</v>
      </c>
      <c r="E537" t="s">
        <v>867</v>
      </c>
      <c r="F537" t="s">
        <v>849</v>
      </c>
      <c r="G537" t="s">
        <v>1806</v>
      </c>
      <c r="H537" t="s">
        <v>1817</v>
      </c>
    </row>
    <row r="538" spans="1:8" x14ac:dyDescent="0.25">
      <c r="A538" t="s">
        <v>542</v>
      </c>
      <c r="B538" t="s">
        <v>1430</v>
      </c>
      <c r="C538" t="s">
        <v>931</v>
      </c>
      <c r="D538" t="s">
        <v>884</v>
      </c>
      <c r="E538" t="s">
        <v>867</v>
      </c>
      <c r="F538" t="s">
        <v>849</v>
      </c>
      <c r="G538" t="s">
        <v>1806</v>
      </c>
      <c r="H538" t="s">
        <v>1817</v>
      </c>
    </row>
    <row r="539" spans="1:8" x14ac:dyDescent="0.25">
      <c r="A539" t="s">
        <v>543</v>
      </c>
      <c r="B539" t="s">
        <v>1430</v>
      </c>
      <c r="C539" t="s">
        <v>931</v>
      </c>
      <c r="D539" t="s">
        <v>884</v>
      </c>
      <c r="E539" t="s">
        <v>867</v>
      </c>
      <c r="F539" t="s">
        <v>849</v>
      </c>
      <c r="G539" t="s">
        <v>1806</v>
      </c>
      <c r="H539" t="s">
        <v>1817</v>
      </c>
    </row>
    <row r="540" spans="1:8" x14ac:dyDescent="0.25">
      <c r="A540" t="s">
        <v>544</v>
      </c>
      <c r="B540" t="s">
        <v>1430</v>
      </c>
      <c r="C540" t="s">
        <v>931</v>
      </c>
      <c r="D540" t="s">
        <v>884</v>
      </c>
      <c r="E540" t="s">
        <v>867</v>
      </c>
      <c r="F540" t="s">
        <v>849</v>
      </c>
      <c r="G540" t="s">
        <v>1806</v>
      </c>
      <c r="H540" t="s">
        <v>1817</v>
      </c>
    </row>
    <row r="541" spans="1:8" x14ac:dyDescent="0.25">
      <c r="A541" t="s">
        <v>545</v>
      </c>
      <c r="B541" t="s">
        <v>1430</v>
      </c>
      <c r="C541" t="s">
        <v>931</v>
      </c>
      <c r="D541" t="s">
        <v>884</v>
      </c>
      <c r="E541" t="s">
        <v>867</v>
      </c>
      <c r="F541" t="s">
        <v>849</v>
      </c>
      <c r="G541" t="s">
        <v>1806</v>
      </c>
      <c r="H541" t="s">
        <v>1817</v>
      </c>
    </row>
    <row r="542" spans="1:8" x14ac:dyDescent="0.25">
      <c r="A542" t="s">
        <v>1431</v>
      </c>
      <c r="B542" t="s">
        <v>1430</v>
      </c>
      <c r="C542" t="s">
        <v>931</v>
      </c>
      <c r="D542" t="s">
        <v>884</v>
      </c>
      <c r="E542" t="s">
        <v>867</v>
      </c>
      <c r="F542" t="s">
        <v>849</v>
      </c>
      <c r="G542" t="s">
        <v>1806</v>
      </c>
      <c r="H542" t="s">
        <v>1820</v>
      </c>
    </row>
    <row r="543" spans="1:8" x14ac:dyDescent="0.25">
      <c r="A543" t="s">
        <v>2783</v>
      </c>
      <c r="B543" t="s">
        <v>2539</v>
      </c>
      <c r="C543" t="s">
        <v>929</v>
      </c>
      <c r="D543" t="s">
        <v>928</v>
      </c>
      <c r="E543" t="s">
        <v>867</v>
      </c>
      <c r="F543" t="s">
        <v>849</v>
      </c>
      <c r="G543" t="s">
        <v>1806</v>
      </c>
      <c r="H543" t="s">
        <v>1820</v>
      </c>
    </row>
    <row r="544" spans="1:8" x14ac:dyDescent="0.25">
      <c r="A544" t="s">
        <v>2538</v>
      </c>
      <c r="B544" t="s">
        <v>2539</v>
      </c>
      <c r="C544" t="s">
        <v>929</v>
      </c>
      <c r="D544" t="s">
        <v>928</v>
      </c>
      <c r="E544" t="s">
        <v>867</v>
      </c>
      <c r="F544" t="s">
        <v>849</v>
      </c>
      <c r="G544" t="s">
        <v>1806</v>
      </c>
      <c r="H544" t="s">
        <v>1817</v>
      </c>
    </row>
    <row r="545" spans="1:8" x14ac:dyDescent="0.25">
      <c r="A545" t="s">
        <v>546</v>
      </c>
      <c r="B545" t="s">
        <v>1433</v>
      </c>
      <c r="C545" t="s">
        <v>1432</v>
      </c>
      <c r="D545" t="s">
        <v>1075</v>
      </c>
      <c r="E545" t="s">
        <v>889</v>
      </c>
      <c r="F545" t="s">
        <v>862</v>
      </c>
      <c r="G545" t="s">
        <v>1806</v>
      </c>
      <c r="H545" t="s">
        <v>1817</v>
      </c>
    </row>
    <row r="546" spans="1:8" x14ac:dyDescent="0.25">
      <c r="A546" t="s">
        <v>547</v>
      </c>
      <c r="B546" t="s">
        <v>1434</v>
      </c>
      <c r="C546" t="s">
        <v>964</v>
      </c>
      <c r="D546" t="s">
        <v>963</v>
      </c>
      <c r="E546" t="s">
        <v>838</v>
      </c>
      <c r="F546" t="s">
        <v>837</v>
      </c>
      <c r="G546" t="s">
        <v>1810</v>
      </c>
      <c r="H546" t="s">
        <v>1817</v>
      </c>
    </row>
    <row r="547" spans="1:8" x14ac:dyDescent="0.25">
      <c r="A547" t="s">
        <v>548</v>
      </c>
      <c r="B547" t="s">
        <v>1434</v>
      </c>
      <c r="C547" t="s">
        <v>964</v>
      </c>
      <c r="D547" t="s">
        <v>963</v>
      </c>
      <c r="E547" t="s">
        <v>838</v>
      </c>
      <c r="F547" t="s">
        <v>837</v>
      </c>
      <c r="G547" t="s">
        <v>1810</v>
      </c>
      <c r="H547" t="s">
        <v>1817</v>
      </c>
    </row>
    <row r="548" spans="1:8" x14ac:dyDescent="0.25">
      <c r="A548" t="s">
        <v>549</v>
      </c>
      <c r="B548" t="s">
        <v>1435</v>
      </c>
      <c r="C548" t="s">
        <v>1072</v>
      </c>
      <c r="D548" t="s">
        <v>1002</v>
      </c>
      <c r="E548" t="s">
        <v>968</v>
      </c>
      <c r="F548" t="s">
        <v>862</v>
      </c>
      <c r="G548" t="s">
        <v>1806</v>
      </c>
      <c r="H548" t="s">
        <v>1817</v>
      </c>
    </row>
    <row r="549" spans="1:8" x14ac:dyDescent="0.25">
      <c r="A549" t="s">
        <v>550</v>
      </c>
      <c r="B549" t="s">
        <v>1437</v>
      </c>
      <c r="C549" t="s">
        <v>1436</v>
      </c>
      <c r="D549" t="s">
        <v>972</v>
      </c>
      <c r="E549" t="s">
        <v>968</v>
      </c>
      <c r="F549" t="s">
        <v>862</v>
      </c>
      <c r="G549" t="s">
        <v>1806</v>
      </c>
      <c r="H549" t="s">
        <v>1817</v>
      </c>
    </row>
    <row r="550" spans="1:8" x14ac:dyDescent="0.25">
      <c r="A550" t="s">
        <v>551</v>
      </c>
      <c r="B550" t="s">
        <v>1439</v>
      </c>
      <c r="C550" t="s">
        <v>1438</v>
      </c>
      <c r="D550" t="s">
        <v>1045</v>
      </c>
      <c r="E550" t="s">
        <v>968</v>
      </c>
      <c r="F550" t="s">
        <v>862</v>
      </c>
      <c r="G550" t="s">
        <v>1806</v>
      </c>
      <c r="H550" t="s">
        <v>1817</v>
      </c>
    </row>
    <row r="551" spans="1:8" x14ac:dyDescent="0.25">
      <c r="A551" t="s">
        <v>552</v>
      </c>
      <c r="B551" t="s">
        <v>1439</v>
      </c>
      <c r="C551" t="s">
        <v>1438</v>
      </c>
      <c r="D551" t="s">
        <v>1045</v>
      </c>
      <c r="E551" t="s">
        <v>968</v>
      </c>
      <c r="F551" t="s">
        <v>862</v>
      </c>
      <c r="G551" t="s">
        <v>1806</v>
      </c>
      <c r="H551" t="s">
        <v>1817</v>
      </c>
    </row>
    <row r="552" spans="1:8" x14ac:dyDescent="0.25">
      <c r="A552" t="s">
        <v>553</v>
      </c>
      <c r="B552" t="s">
        <v>1442</v>
      </c>
      <c r="C552" t="s">
        <v>1441</v>
      </c>
      <c r="D552" t="s">
        <v>1440</v>
      </c>
      <c r="E552" t="s">
        <v>863</v>
      </c>
      <c r="F552" t="s">
        <v>862</v>
      </c>
      <c r="G552" t="s">
        <v>1806</v>
      </c>
      <c r="H552" t="s">
        <v>1817</v>
      </c>
    </row>
    <row r="553" spans="1:8" x14ac:dyDescent="0.25">
      <c r="A553" t="s">
        <v>2540</v>
      </c>
      <c r="B553" t="s">
        <v>2541</v>
      </c>
      <c r="C553" t="s">
        <v>891</v>
      </c>
      <c r="D553" t="s">
        <v>890</v>
      </c>
      <c r="E553" t="s">
        <v>889</v>
      </c>
      <c r="F553" t="s">
        <v>862</v>
      </c>
      <c r="G553" t="s">
        <v>1806</v>
      </c>
      <c r="H553" t="s">
        <v>1817</v>
      </c>
    </row>
    <row r="554" spans="1:8" x14ac:dyDescent="0.25">
      <c r="A554" t="s">
        <v>554</v>
      </c>
      <c r="B554" t="s">
        <v>1444</v>
      </c>
      <c r="C554" t="s">
        <v>1443</v>
      </c>
      <c r="D554" t="s">
        <v>972</v>
      </c>
      <c r="E554" t="s">
        <v>968</v>
      </c>
      <c r="F554" t="s">
        <v>862</v>
      </c>
      <c r="G554" t="s">
        <v>1806</v>
      </c>
      <c r="H554" t="s">
        <v>1817</v>
      </c>
    </row>
    <row r="555" spans="1:8" x14ac:dyDescent="0.25">
      <c r="A555" t="s">
        <v>555</v>
      </c>
      <c r="B555" t="s">
        <v>1445</v>
      </c>
      <c r="C555" t="s">
        <v>1018</v>
      </c>
      <c r="D555" t="s">
        <v>846</v>
      </c>
      <c r="E555" t="s">
        <v>838</v>
      </c>
      <c r="F555" t="s">
        <v>837</v>
      </c>
      <c r="G555" t="s">
        <v>1810</v>
      </c>
      <c r="H555" t="s">
        <v>1817</v>
      </c>
    </row>
    <row r="556" spans="1:8" x14ac:dyDescent="0.25">
      <c r="A556" t="s">
        <v>2542</v>
      </c>
      <c r="B556" t="s">
        <v>1445</v>
      </c>
      <c r="C556" t="s">
        <v>1018</v>
      </c>
      <c r="D556" t="s">
        <v>846</v>
      </c>
      <c r="E556" t="s">
        <v>838</v>
      </c>
      <c r="F556" t="s">
        <v>837</v>
      </c>
      <c r="G556" t="s">
        <v>1810</v>
      </c>
      <c r="H556" t="s">
        <v>1817</v>
      </c>
    </row>
    <row r="557" spans="1:8" x14ac:dyDescent="0.25">
      <c r="A557" t="s">
        <v>556</v>
      </c>
      <c r="B557" t="s">
        <v>1447</v>
      </c>
      <c r="C557" t="s">
        <v>1446</v>
      </c>
      <c r="D557" t="s">
        <v>1014</v>
      </c>
      <c r="E557" t="s">
        <v>838</v>
      </c>
      <c r="F557" t="s">
        <v>837</v>
      </c>
      <c r="G557" t="s">
        <v>1810</v>
      </c>
      <c r="H557" t="s">
        <v>1817</v>
      </c>
    </row>
    <row r="558" spans="1:8" x14ac:dyDescent="0.25">
      <c r="A558" t="s">
        <v>2543</v>
      </c>
      <c r="B558" t="s">
        <v>1447</v>
      </c>
      <c r="C558" t="s">
        <v>1446</v>
      </c>
      <c r="D558" t="s">
        <v>1014</v>
      </c>
      <c r="E558" t="s">
        <v>838</v>
      </c>
      <c r="F558" t="s">
        <v>837</v>
      </c>
      <c r="G558" t="s">
        <v>1810</v>
      </c>
      <c r="H558" t="s">
        <v>1817</v>
      </c>
    </row>
    <row r="559" spans="1:8" x14ac:dyDescent="0.25">
      <c r="A559" t="s">
        <v>557</v>
      </c>
      <c r="B559" t="s">
        <v>1447</v>
      </c>
      <c r="C559" t="s">
        <v>1446</v>
      </c>
      <c r="D559" t="s">
        <v>1014</v>
      </c>
      <c r="E559" t="s">
        <v>838</v>
      </c>
      <c r="F559" t="s">
        <v>837</v>
      </c>
      <c r="G559" t="s">
        <v>1810</v>
      </c>
      <c r="H559" t="s">
        <v>1817</v>
      </c>
    </row>
    <row r="560" spans="1:8" x14ac:dyDescent="0.25">
      <c r="A560" t="s">
        <v>2544</v>
      </c>
      <c r="B560" t="s">
        <v>2545</v>
      </c>
      <c r="C560" t="s">
        <v>2546</v>
      </c>
      <c r="D560" t="s">
        <v>2547</v>
      </c>
      <c r="E560" t="s">
        <v>1035</v>
      </c>
      <c r="F560" t="s">
        <v>849</v>
      </c>
      <c r="G560" t="s">
        <v>1806</v>
      </c>
      <c r="H560" t="s">
        <v>1817</v>
      </c>
    </row>
    <row r="561" spans="1:8" x14ac:dyDescent="0.25">
      <c r="A561" t="s">
        <v>2548</v>
      </c>
      <c r="B561" t="s">
        <v>1448</v>
      </c>
      <c r="C561" t="s">
        <v>1183</v>
      </c>
      <c r="D561" t="s">
        <v>1182</v>
      </c>
      <c r="E561" t="s">
        <v>1124</v>
      </c>
      <c r="F561" t="s">
        <v>857</v>
      </c>
      <c r="G561" t="s">
        <v>1806</v>
      </c>
      <c r="H561" t="s">
        <v>1817</v>
      </c>
    </row>
    <row r="562" spans="1:8" x14ac:dyDescent="0.25">
      <c r="A562" t="s">
        <v>558</v>
      </c>
      <c r="B562" t="s">
        <v>1448</v>
      </c>
      <c r="C562" t="s">
        <v>1183</v>
      </c>
      <c r="D562" t="s">
        <v>1182</v>
      </c>
      <c r="E562" t="s">
        <v>1124</v>
      </c>
      <c r="F562" t="s">
        <v>857</v>
      </c>
      <c r="G562" t="s">
        <v>1806</v>
      </c>
      <c r="H562" t="s">
        <v>1817</v>
      </c>
    </row>
    <row r="563" spans="1:8" x14ac:dyDescent="0.25">
      <c r="A563" t="s">
        <v>559</v>
      </c>
      <c r="B563" t="s">
        <v>1449</v>
      </c>
      <c r="C563" t="s">
        <v>946</v>
      </c>
      <c r="D563" t="s">
        <v>868</v>
      </c>
      <c r="E563" t="s">
        <v>867</v>
      </c>
      <c r="F563" t="s">
        <v>849</v>
      </c>
      <c r="G563" t="s">
        <v>1806</v>
      </c>
      <c r="H563" t="s">
        <v>1817</v>
      </c>
    </row>
    <row r="564" spans="1:8" x14ac:dyDescent="0.25">
      <c r="A564" t="s">
        <v>560</v>
      </c>
      <c r="B564" t="s">
        <v>1450</v>
      </c>
      <c r="C564" t="s">
        <v>916</v>
      </c>
      <c r="D564" t="s">
        <v>915</v>
      </c>
      <c r="E564" t="s">
        <v>880</v>
      </c>
      <c r="F564" t="s">
        <v>837</v>
      </c>
      <c r="G564" t="s">
        <v>1810</v>
      </c>
      <c r="H564" t="s">
        <v>1817</v>
      </c>
    </row>
    <row r="565" spans="1:8" x14ac:dyDescent="0.25">
      <c r="A565" t="s">
        <v>2549</v>
      </c>
      <c r="B565" t="s">
        <v>1450</v>
      </c>
      <c r="C565" t="s">
        <v>916</v>
      </c>
      <c r="D565" t="s">
        <v>915</v>
      </c>
      <c r="E565" t="s">
        <v>880</v>
      </c>
      <c r="F565" t="s">
        <v>837</v>
      </c>
      <c r="G565" t="s">
        <v>1810</v>
      </c>
      <c r="H565" t="s">
        <v>1817</v>
      </c>
    </row>
    <row r="566" spans="1:8" x14ac:dyDescent="0.25">
      <c r="A566" t="s">
        <v>561</v>
      </c>
      <c r="B566" t="s">
        <v>1450</v>
      </c>
      <c r="C566" t="s">
        <v>916</v>
      </c>
      <c r="D566" t="s">
        <v>915</v>
      </c>
      <c r="E566" t="s">
        <v>880</v>
      </c>
      <c r="F566" t="s">
        <v>837</v>
      </c>
      <c r="G566" t="s">
        <v>1810</v>
      </c>
      <c r="H566" t="s">
        <v>1817</v>
      </c>
    </row>
    <row r="567" spans="1:8" x14ac:dyDescent="0.25">
      <c r="A567" t="s">
        <v>562</v>
      </c>
      <c r="B567" t="s">
        <v>1452</v>
      </c>
      <c r="C567" t="s">
        <v>1451</v>
      </c>
      <c r="D567" t="s">
        <v>1045</v>
      </c>
      <c r="E567" t="s">
        <v>968</v>
      </c>
      <c r="F567" t="s">
        <v>862</v>
      </c>
      <c r="G567" t="s">
        <v>1806</v>
      </c>
      <c r="H567" t="s">
        <v>1817</v>
      </c>
    </row>
    <row r="568" spans="1:8" x14ac:dyDescent="0.25">
      <c r="A568" t="s">
        <v>563</v>
      </c>
      <c r="B568" t="s">
        <v>1454</v>
      </c>
      <c r="C568" t="s">
        <v>1453</v>
      </c>
      <c r="D568" t="s">
        <v>1121</v>
      </c>
      <c r="E568" t="s">
        <v>867</v>
      </c>
      <c r="F568" t="s">
        <v>849</v>
      </c>
      <c r="G568" t="s">
        <v>1806</v>
      </c>
      <c r="H568" t="s">
        <v>1817</v>
      </c>
    </row>
    <row r="569" spans="1:8" x14ac:dyDescent="0.25">
      <c r="A569" t="s">
        <v>564</v>
      </c>
      <c r="B569" t="s">
        <v>1456</v>
      </c>
      <c r="C569" t="s">
        <v>1455</v>
      </c>
      <c r="D569" t="s">
        <v>928</v>
      </c>
      <c r="E569" t="s">
        <v>867</v>
      </c>
      <c r="F569" t="s">
        <v>849</v>
      </c>
      <c r="G569" t="s">
        <v>1806</v>
      </c>
      <c r="H569" t="s">
        <v>1817</v>
      </c>
    </row>
    <row r="570" spans="1:8" x14ac:dyDescent="0.25">
      <c r="A570" t="s">
        <v>565</v>
      </c>
      <c r="B570" t="s">
        <v>1459</v>
      </c>
      <c r="C570" t="s">
        <v>1458</v>
      </c>
      <c r="D570" t="s">
        <v>1457</v>
      </c>
      <c r="E570" t="s">
        <v>867</v>
      </c>
      <c r="F570" t="s">
        <v>849</v>
      </c>
      <c r="G570" t="s">
        <v>1806</v>
      </c>
      <c r="H570" t="s">
        <v>1817</v>
      </c>
    </row>
    <row r="571" spans="1:8" x14ac:dyDescent="0.25">
      <c r="A571" t="s">
        <v>566</v>
      </c>
      <c r="B571" t="s">
        <v>1460</v>
      </c>
      <c r="C571" t="s">
        <v>1438</v>
      </c>
      <c r="D571" t="s">
        <v>1045</v>
      </c>
      <c r="E571" t="s">
        <v>968</v>
      </c>
      <c r="F571" t="s">
        <v>862</v>
      </c>
      <c r="G571" t="s">
        <v>1806</v>
      </c>
      <c r="H571" t="s">
        <v>1817</v>
      </c>
    </row>
    <row r="572" spans="1:8" x14ac:dyDescent="0.25">
      <c r="A572" t="s">
        <v>2550</v>
      </c>
      <c r="B572" t="s">
        <v>2551</v>
      </c>
      <c r="C572" t="s">
        <v>954</v>
      </c>
      <c r="D572" t="s">
        <v>953</v>
      </c>
      <c r="E572" t="s">
        <v>838</v>
      </c>
      <c r="F572" t="s">
        <v>837</v>
      </c>
      <c r="G572" t="s">
        <v>1810</v>
      </c>
      <c r="H572" t="s">
        <v>1817</v>
      </c>
    </row>
    <row r="573" spans="1:8" x14ac:dyDescent="0.25">
      <c r="A573" t="s">
        <v>567</v>
      </c>
      <c r="B573" t="s">
        <v>1461</v>
      </c>
      <c r="C573" t="s">
        <v>1387</v>
      </c>
      <c r="D573" t="s">
        <v>1341</v>
      </c>
      <c r="E573" t="s">
        <v>838</v>
      </c>
      <c r="F573" t="s">
        <v>837</v>
      </c>
      <c r="G573" t="s">
        <v>1810</v>
      </c>
      <c r="H573" t="s">
        <v>1817</v>
      </c>
    </row>
    <row r="574" spans="1:8" x14ac:dyDescent="0.25">
      <c r="A574" t="s">
        <v>568</v>
      </c>
      <c r="B574" t="s">
        <v>1463</v>
      </c>
      <c r="C574" t="s">
        <v>1462</v>
      </c>
      <c r="D574" t="s">
        <v>868</v>
      </c>
      <c r="E574" t="s">
        <v>867</v>
      </c>
      <c r="F574" t="s">
        <v>849</v>
      </c>
      <c r="G574" t="s">
        <v>1806</v>
      </c>
      <c r="H574" t="s">
        <v>1817</v>
      </c>
    </row>
    <row r="575" spans="1:8" x14ac:dyDescent="0.25">
      <c r="A575" t="s">
        <v>569</v>
      </c>
      <c r="B575" t="s">
        <v>1464</v>
      </c>
      <c r="C575" t="s">
        <v>1046</v>
      </c>
      <c r="D575" t="s">
        <v>1045</v>
      </c>
      <c r="E575" t="s">
        <v>968</v>
      </c>
      <c r="F575" t="s">
        <v>862</v>
      </c>
      <c r="G575" t="s">
        <v>1806</v>
      </c>
      <c r="H575" t="s">
        <v>1817</v>
      </c>
    </row>
    <row r="576" spans="1:8" x14ac:dyDescent="0.25">
      <c r="A576" t="s">
        <v>570</v>
      </c>
      <c r="B576" t="s">
        <v>1466</v>
      </c>
      <c r="C576" t="s">
        <v>1465</v>
      </c>
      <c r="D576" t="s">
        <v>1026</v>
      </c>
      <c r="E576" t="s">
        <v>838</v>
      </c>
      <c r="F576" t="s">
        <v>837</v>
      </c>
      <c r="G576" t="s">
        <v>1810</v>
      </c>
      <c r="H576" t="s">
        <v>1817</v>
      </c>
    </row>
    <row r="577" spans="1:8" x14ac:dyDescent="0.25">
      <c r="A577" t="s">
        <v>571</v>
      </c>
      <c r="B577" t="s">
        <v>1468</v>
      </c>
      <c r="C577" t="s">
        <v>1467</v>
      </c>
      <c r="D577" t="s">
        <v>907</v>
      </c>
      <c r="E577" t="s">
        <v>838</v>
      </c>
      <c r="F577" t="s">
        <v>837</v>
      </c>
      <c r="G577" t="s">
        <v>1810</v>
      </c>
      <c r="H577" t="s">
        <v>1817</v>
      </c>
    </row>
    <row r="578" spans="1:8" x14ac:dyDescent="0.25">
      <c r="A578" t="s">
        <v>572</v>
      </c>
      <c r="B578" t="s">
        <v>1469</v>
      </c>
      <c r="C578" t="s">
        <v>929</v>
      </c>
      <c r="D578" t="s">
        <v>928</v>
      </c>
      <c r="E578" t="s">
        <v>867</v>
      </c>
      <c r="F578" t="s">
        <v>849</v>
      </c>
      <c r="G578" t="s">
        <v>1806</v>
      </c>
      <c r="H578" t="s">
        <v>1817</v>
      </c>
    </row>
    <row r="579" spans="1:8" x14ac:dyDescent="0.25">
      <c r="A579" t="s">
        <v>573</v>
      </c>
      <c r="B579" t="s">
        <v>1470</v>
      </c>
      <c r="C579" t="s">
        <v>1384</v>
      </c>
      <c r="D579" t="s">
        <v>1107</v>
      </c>
      <c r="E579" t="s">
        <v>838</v>
      </c>
      <c r="F579" t="s">
        <v>837</v>
      </c>
      <c r="G579" t="s">
        <v>1810</v>
      </c>
      <c r="H579" t="s">
        <v>1817</v>
      </c>
    </row>
    <row r="580" spans="1:8" x14ac:dyDescent="0.25">
      <c r="A580" t="s">
        <v>574</v>
      </c>
      <c r="B580" t="s">
        <v>1470</v>
      </c>
      <c r="C580" t="s">
        <v>1384</v>
      </c>
      <c r="D580" t="s">
        <v>1107</v>
      </c>
      <c r="E580" t="s">
        <v>838</v>
      </c>
      <c r="F580" t="s">
        <v>837</v>
      </c>
      <c r="G580" t="s">
        <v>1810</v>
      </c>
      <c r="H580" t="s">
        <v>1817</v>
      </c>
    </row>
    <row r="581" spans="1:8" x14ac:dyDescent="0.25">
      <c r="A581" t="s">
        <v>575</v>
      </c>
      <c r="B581" t="s">
        <v>1786</v>
      </c>
      <c r="C581" t="s">
        <v>1242</v>
      </c>
      <c r="D581" t="s">
        <v>850</v>
      </c>
      <c r="E581" t="s">
        <v>1852</v>
      </c>
      <c r="F581" t="s">
        <v>849</v>
      </c>
      <c r="G581" t="s">
        <v>1806</v>
      </c>
    </row>
    <row r="582" spans="1:8" x14ac:dyDescent="0.25">
      <c r="A582" t="s">
        <v>576</v>
      </c>
      <c r="B582" t="s">
        <v>1473</v>
      </c>
      <c r="C582" t="s">
        <v>1472</v>
      </c>
      <c r="D582" t="s">
        <v>1471</v>
      </c>
      <c r="E582" t="s">
        <v>889</v>
      </c>
      <c r="F582" t="s">
        <v>862</v>
      </c>
      <c r="G582" t="s">
        <v>1806</v>
      </c>
      <c r="H582" t="s">
        <v>1817</v>
      </c>
    </row>
    <row r="583" spans="1:8" x14ac:dyDescent="0.25">
      <c r="A583" t="s">
        <v>577</v>
      </c>
      <c r="B583" t="s">
        <v>1475</v>
      </c>
      <c r="C583" t="s">
        <v>1474</v>
      </c>
      <c r="D583" t="s">
        <v>972</v>
      </c>
      <c r="E583" t="s">
        <v>968</v>
      </c>
      <c r="F583" t="s">
        <v>862</v>
      </c>
      <c r="G583" t="s">
        <v>1806</v>
      </c>
      <c r="H583" t="s">
        <v>1817</v>
      </c>
    </row>
    <row r="584" spans="1:8" x14ac:dyDescent="0.25">
      <c r="A584" t="s">
        <v>2552</v>
      </c>
      <c r="B584" t="s">
        <v>2553</v>
      </c>
      <c r="C584" t="s">
        <v>908</v>
      </c>
      <c r="D584" t="s">
        <v>907</v>
      </c>
      <c r="E584" t="s">
        <v>838</v>
      </c>
      <c r="F584" t="s">
        <v>837</v>
      </c>
      <c r="G584" t="s">
        <v>1810</v>
      </c>
      <c r="H584" t="s">
        <v>1817</v>
      </c>
    </row>
    <row r="585" spans="1:8" x14ac:dyDescent="0.25">
      <c r="A585" t="s">
        <v>2554</v>
      </c>
      <c r="B585" t="s">
        <v>1478</v>
      </c>
      <c r="C585" t="s">
        <v>1477</v>
      </c>
      <c r="D585" t="s">
        <v>1476</v>
      </c>
      <c r="E585" t="s">
        <v>1066</v>
      </c>
      <c r="F585" t="s">
        <v>1065</v>
      </c>
      <c r="G585" t="s">
        <v>1809</v>
      </c>
      <c r="H585" t="s">
        <v>1817</v>
      </c>
    </row>
    <row r="586" spans="1:8" x14ac:dyDescent="0.25">
      <c r="A586" t="s">
        <v>578</v>
      </c>
      <c r="B586" t="s">
        <v>1478</v>
      </c>
      <c r="C586" t="s">
        <v>1477</v>
      </c>
      <c r="D586" t="s">
        <v>1476</v>
      </c>
      <c r="E586" t="s">
        <v>1066</v>
      </c>
      <c r="F586" t="s">
        <v>1065</v>
      </c>
      <c r="G586" t="s">
        <v>1809</v>
      </c>
      <c r="H586" t="s">
        <v>1817</v>
      </c>
    </row>
    <row r="587" spans="1:8" x14ac:dyDescent="0.25">
      <c r="A587" t="s">
        <v>2555</v>
      </c>
      <c r="B587" t="s">
        <v>2556</v>
      </c>
      <c r="C587" t="s">
        <v>1011</v>
      </c>
      <c r="D587" t="s">
        <v>884</v>
      </c>
      <c r="E587" t="s">
        <v>867</v>
      </c>
      <c r="F587" t="s">
        <v>849</v>
      </c>
      <c r="G587" t="s">
        <v>1806</v>
      </c>
      <c r="H587" t="s">
        <v>1817</v>
      </c>
    </row>
    <row r="588" spans="1:8" x14ac:dyDescent="0.25">
      <c r="A588" t="s">
        <v>579</v>
      </c>
      <c r="B588" t="s">
        <v>1480</v>
      </c>
      <c r="C588" t="s">
        <v>1479</v>
      </c>
      <c r="D588" t="s">
        <v>1029</v>
      </c>
      <c r="E588" t="s">
        <v>867</v>
      </c>
      <c r="F588" t="s">
        <v>849</v>
      </c>
      <c r="G588" t="s">
        <v>1806</v>
      </c>
      <c r="H588" t="s">
        <v>1817</v>
      </c>
    </row>
    <row r="589" spans="1:8" x14ac:dyDescent="0.25">
      <c r="A589" t="s">
        <v>580</v>
      </c>
      <c r="B589" t="s">
        <v>1481</v>
      </c>
      <c r="C589" t="s">
        <v>976</v>
      </c>
      <c r="D589" t="s">
        <v>900</v>
      </c>
      <c r="E589" t="s">
        <v>838</v>
      </c>
      <c r="F589" t="s">
        <v>837</v>
      </c>
      <c r="G589" t="s">
        <v>1810</v>
      </c>
      <c r="H589" t="s">
        <v>1817</v>
      </c>
    </row>
    <row r="590" spans="1:8" x14ac:dyDescent="0.25">
      <c r="A590" t="s">
        <v>581</v>
      </c>
      <c r="B590" t="s">
        <v>1481</v>
      </c>
      <c r="C590" t="s">
        <v>976</v>
      </c>
      <c r="D590" t="s">
        <v>900</v>
      </c>
      <c r="E590" t="s">
        <v>838</v>
      </c>
      <c r="F590" t="s">
        <v>837</v>
      </c>
      <c r="G590" t="s">
        <v>1810</v>
      </c>
      <c r="H590" t="s">
        <v>1817</v>
      </c>
    </row>
    <row r="591" spans="1:8" x14ac:dyDescent="0.25">
      <c r="A591" t="s">
        <v>582</v>
      </c>
      <c r="B591" t="s">
        <v>1481</v>
      </c>
      <c r="C591" t="s">
        <v>976</v>
      </c>
      <c r="D591" t="s">
        <v>900</v>
      </c>
      <c r="E591" t="s">
        <v>838</v>
      </c>
      <c r="F591" t="s">
        <v>837</v>
      </c>
      <c r="G591" t="s">
        <v>1810</v>
      </c>
      <c r="H591" t="s">
        <v>1817</v>
      </c>
    </row>
    <row r="592" spans="1:8" x14ac:dyDescent="0.25">
      <c r="A592" t="s">
        <v>2557</v>
      </c>
      <c r="B592" t="s">
        <v>1481</v>
      </c>
      <c r="C592" t="s">
        <v>976</v>
      </c>
      <c r="D592" t="s">
        <v>900</v>
      </c>
      <c r="E592" t="s">
        <v>838</v>
      </c>
      <c r="F592" t="s">
        <v>837</v>
      </c>
      <c r="G592" t="s">
        <v>1810</v>
      </c>
      <c r="H592" t="s">
        <v>1817</v>
      </c>
    </row>
    <row r="593" spans="1:8" x14ac:dyDescent="0.25">
      <c r="A593" t="s">
        <v>583</v>
      </c>
      <c r="B593" t="s">
        <v>1481</v>
      </c>
      <c r="C593" t="s">
        <v>976</v>
      </c>
      <c r="D593" t="s">
        <v>900</v>
      </c>
      <c r="E593" t="s">
        <v>838</v>
      </c>
      <c r="F593" t="s">
        <v>837</v>
      </c>
      <c r="G593" t="s">
        <v>1810</v>
      </c>
      <c r="H593" t="s">
        <v>1817</v>
      </c>
    </row>
    <row r="594" spans="1:8" x14ac:dyDescent="0.25">
      <c r="A594" t="s">
        <v>584</v>
      </c>
      <c r="B594" t="s">
        <v>1483</v>
      </c>
      <c r="C594" t="s">
        <v>1482</v>
      </c>
      <c r="D594" t="s">
        <v>1036</v>
      </c>
      <c r="E594" t="s">
        <v>1035</v>
      </c>
      <c r="F594" t="s">
        <v>849</v>
      </c>
      <c r="G594" t="s">
        <v>1806</v>
      </c>
      <c r="H594" t="s">
        <v>1817</v>
      </c>
    </row>
    <row r="595" spans="1:8" x14ac:dyDescent="0.25">
      <c r="A595" t="s">
        <v>585</v>
      </c>
      <c r="B595" t="s">
        <v>1483</v>
      </c>
      <c r="C595" t="s">
        <v>1482</v>
      </c>
      <c r="D595" t="s">
        <v>1036</v>
      </c>
      <c r="E595" t="s">
        <v>1035</v>
      </c>
      <c r="F595" t="s">
        <v>849</v>
      </c>
      <c r="G595" t="s">
        <v>1806</v>
      </c>
      <c r="H595" t="s">
        <v>1817</v>
      </c>
    </row>
    <row r="596" spans="1:8" x14ac:dyDescent="0.25">
      <c r="A596" t="s">
        <v>586</v>
      </c>
      <c r="B596" t="s">
        <v>1484</v>
      </c>
      <c r="C596" t="s">
        <v>1332</v>
      </c>
      <c r="D596" t="s">
        <v>1029</v>
      </c>
      <c r="E596" t="s">
        <v>867</v>
      </c>
      <c r="F596" t="s">
        <v>849</v>
      </c>
      <c r="G596" t="s">
        <v>1806</v>
      </c>
      <c r="H596" t="s">
        <v>1817</v>
      </c>
    </row>
    <row r="597" spans="1:8" x14ac:dyDescent="0.25">
      <c r="A597" t="s">
        <v>587</v>
      </c>
      <c r="B597" t="s">
        <v>1484</v>
      </c>
      <c r="C597" t="s">
        <v>1332</v>
      </c>
      <c r="D597" t="s">
        <v>1029</v>
      </c>
      <c r="E597" t="s">
        <v>867</v>
      </c>
      <c r="F597" t="s">
        <v>849</v>
      </c>
      <c r="G597" t="s">
        <v>1806</v>
      </c>
      <c r="H597" t="s">
        <v>1817</v>
      </c>
    </row>
    <row r="598" spans="1:8" x14ac:dyDescent="0.25">
      <c r="A598" t="s">
        <v>588</v>
      </c>
      <c r="B598" t="s">
        <v>1484</v>
      </c>
      <c r="C598" t="s">
        <v>1332</v>
      </c>
      <c r="D598" t="s">
        <v>1029</v>
      </c>
      <c r="E598" t="s">
        <v>867</v>
      </c>
      <c r="F598" t="s">
        <v>849</v>
      </c>
      <c r="G598" t="s">
        <v>1806</v>
      </c>
      <c r="H598" t="s">
        <v>1817</v>
      </c>
    </row>
    <row r="599" spans="1:8" x14ac:dyDescent="0.25">
      <c r="A599" t="s">
        <v>589</v>
      </c>
      <c r="B599" t="s">
        <v>1787</v>
      </c>
      <c r="C599" t="s">
        <v>1853</v>
      </c>
      <c r="D599" t="s">
        <v>838</v>
      </c>
      <c r="E599" t="s">
        <v>846</v>
      </c>
      <c r="F599" t="s">
        <v>837</v>
      </c>
      <c r="G599" t="s">
        <v>1810</v>
      </c>
    </row>
    <row r="600" spans="1:8" x14ac:dyDescent="0.25">
      <c r="A600" t="s">
        <v>590</v>
      </c>
      <c r="B600" t="s">
        <v>1485</v>
      </c>
      <c r="C600" t="s">
        <v>999</v>
      </c>
      <c r="D600" t="s">
        <v>924</v>
      </c>
      <c r="E600" t="s">
        <v>923</v>
      </c>
      <c r="F600" t="s">
        <v>862</v>
      </c>
      <c r="G600" t="s">
        <v>1806</v>
      </c>
      <c r="H600" t="s">
        <v>1817</v>
      </c>
    </row>
    <row r="601" spans="1:8" x14ac:dyDescent="0.25">
      <c r="A601" t="s">
        <v>2558</v>
      </c>
      <c r="B601" t="s">
        <v>2559</v>
      </c>
      <c r="C601" t="s">
        <v>1502</v>
      </c>
      <c r="D601" t="s">
        <v>884</v>
      </c>
      <c r="E601" t="s">
        <v>867</v>
      </c>
      <c r="F601" t="s">
        <v>849</v>
      </c>
      <c r="G601" t="s">
        <v>1806</v>
      </c>
      <c r="H601" t="s">
        <v>1817</v>
      </c>
    </row>
    <row r="602" spans="1:8" x14ac:dyDescent="0.25">
      <c r="A602" t="s">
        <v>591</v>
      </c>
      <c r="B602" t="s">
        <v>1488</v>
      </c>
      <c r="C602" t="s">
        <v>1487</v>
      </c>
      <c r="D602" t="s">
        <v>1486</v>
      </c>
      <c r="E602" t="s">
        <v>968</v>
      </c>
      <c r="F602" t="s">
        <v>862</v>
      </c>
      <c r="G602" t="s">
        <v>1806</v>
      </c>
      <c r="H602" t="s">
        <v>1817</v>
      </c>
    </row>
    <row r="603" spans="1:8" x14ac:dyDescent="0.25">
      <c r="A603" t="s">
        <v>592</v>
      </c>
      <c r="B603" t="s">
        <v>1490</v>
      </c>
      <c r="C603" t="s">
        <v>1489</v>
      </c>
      <c r="D603" t="s">
        <v>884</v>
      </c>
      <c r="E603" t="s">
        <v>867</v>
      </c>
      <c r="F603" t="s">
        <v>849</v>
      </c>
      <c r="G603" t="s">
        <v>1806</v>
      </c>
      <c r="H603" t="s">
        <v>1817</v>
      </c>
    </row>
    <row r="604" spans="1:8" x14ac:dyDescent="0.25">
      <c r="A604" t="s">
        <v>2560</v>
      </c>
      <c r="B604" t="s">
        <v>2561</v>
      </c>
      <c r="C604" t="s">
        <v>908</v>
      </c>
      <c r="D604" t="s">
        <v>907</v>
      </c>
      <c r="E604" t="s">
        <v>838</v>
      </c>
      <c r="F604" t="s">
        <v>837</v>
      </c>
      <c r="G604" t="s">
        <v>1810</v>
      </c>
      <c r="H604" t="s">
        <v>1820</v>
      </c>
    </row>
    <row r="605" spans="1:8" x14ac:dyDescent="0.25">
      <c r="A605" t="s">
        <v>593</v>
      </c>
      <c r="B605" t="s">
        <v>1491</v>
      </c>
      <c r="C605" t="s">
        <v>1083</v>
      </c>
      <c r="D605" t="s">
        <v>1029</v>
      </c>
      <c r="E605" t="s">
        <v>867</v>
      </c>
      <c r="F605" t="s">
        <v>849</v>
      </c>
      <c r="G605" t="s">
        <v>1806</v>
      </c>
      <c r="H605" t="s">
        <v>1817</v>
      </c>
    </row>
    <row r="606" spans="1:8" x14ac:dyDescent="0.25">
      <c r="A606" t="s">
        <v>2562</v>
      </c>
      <c r="B606" t="s">
        <v>2563</v>
      </c>
      <c r="C606" t="s">
        <v>1305</v>
      </c>
      <c r="D606" t="s">
        <v>859</v>
      </c>
      <c r="E606" t="s">
        <v>858</v>
      </c>
      <c r="F606" t="s">
        <v>857</v>
      </c>
      <c r="G606" t="s">
        <v>1806</v>
      </c>
      <c r="H606" t="s">
        <v>1817</v>
      </c>
    </row>
    <row r="607" spans="1:8" x14ac:dyDescent="0.25">
      <c r="A607" t="s">
        <v>2564</v>
      </c>
      <c r="B607" t="s">
        <v>2565</v>
      </c>
      <c r="C607" t="s">
        <v>1011</v>
      </c>
      <c r="D607" t="s">
        <v>884</v>
      </c>
      <c r="E607" t="s">
        <v>867</v>
      </c>
      <c r="F607" t="s">
        <v>849</v>
      </c>
      <c r="G607" t="s">
        <v>1806</v>
      </c>
      <c r="H607" t="s">
        <v>1817</v>
      </c>
    </row>
    <row r="608" spans="1:8" x14ac:dyDescent="0.25">
      <c r="A608" t="s">
        <v>594</v>
      </c>
      <c r="B608" t="s">
        <v>1492</v>
      </c>
      <c r="C608" t="s">
        <v>1003</v>
      </c>
      <c r="D608" t="s">
        <v>1002</v>
      </c>
      <c r="E608" t="s">
        <v>968</v>
      </c>
      <c r="F608" t="s">
        <v>862</v>
      </c>
      <c r="G608" t="s">
        <v>1806</v>
      </c>
      <c r="H608" t="s">
        <v>1817</v>
      </c>
    </row>
    <row r="609" spans="1:8" x14ac:dyDescent="0.25">
      <c r="A609" t="s">
        <v>595</v>
      </c>
      <c r="B609" t="s">
        <v>1492</v>
      </c>
      <c r="C609" t="s">
        <v>1003</v>
      </c>
      <c r="D609" t="s">
        <v>1002</v>
      </c>
      <c r="E609" t="s">
        <v>968</v>
      </c>
      <c r="F609" t="s">
        <v>862</v>
      </c>
      <c r="G609" t="s">
        <v>1806</v>
      </c>
      <c r="H609" t="s">
        <v>1817</v>
      </c>
    </row>
    <row r="610" spans="1:8" x14ac:dyDescent="0.25">
      <c r="A610" t="s">
        <v>596</v>
      </c>
      <c r="B610" t="s">
        <v>1495</v>
      </c>
      <c r="C610" t="s">
        <v>1494</v>
      </c>
      <c r="D610" t="s">
        <v>1493</v>
      </c>
      <c r="E610" t="s">
        <v>838</v>
      </c>
      <c r="F610" t="s">
        <v>837</v>
      </c>
      <c r="G610" t="s">
        <v>1810</v>
      </c>
      <c r="H610" t="s">
        <v>1817</v>
      </c>
    </row>
    <row r="611" spans="1:8" x14ac:dyDescent="0.25">
      <c r="A611" t="s">
        <v>597</v>
      </c>
      <c r="B611" t="s">
        <v>1496</v>
      </c>
      <c r="C611" t="s">
        <v>898</v>
      </c>
      <c r="D611" t="s">
        <v>897</v>
      </c>
      <c r="E611" t="s">
        <v>863</v>
      </c>
      <c r="F611" t="s">
        <v>862</v>
      </c>
      <c r="G611" t="s">
        <v>1806</v>
      </c>
      <c r="H611" t="s">
        <v>1817</v>
      </c>
    </row>
    <row r="612" spans="1:8" x14ac:dyDescent="0.25">
      <c r="A612" t="s">
        <v>598</v>
      </c>
      <c r="B612" t="s">
        <v>1498</v>
      </c>
      <c r="C612" t="s">
        <v>1497</v>
      </c>
      <c r="D612" t="s">
        <v>1036</v>
      </c>
      <c r="E612" t="s">
        <v>1035</v>
      </c>
      <c r="F612" t="s">
        <v>849</v>
      </c>
      <c r="G612" t="s">
        <v>1806</v>
      </c>
      <c r="H612" t="s">
        <v>1817</v>
      </c>
    </row>
    <row r="613" spans="1:8" x14ac:dyDescent="0.25">
      <c r="A613" t="s">
        <v>599</v>
      </c>
      <c r="B613" t="s">
        <v>1499</v>
      </c>
      <c r="C613" t="s">
        <v>1270</v>
      </c>
      <c r="D613" t="s">
        <v>1045</v>
      </c>
      <c r="E613" t="s">
        <v>968</v>
      </c>
      <c r="F613" t="s">
        <v>862</v>
      </c>
      <c r="G613" t="s">
        <v>1806</v>
      </c>
      <c r="H613" t="s">
        <v>1817</v>
      </c>
    </row>
    <row r="614" spans="1:8" x14ac:dyDescent="0.25">
      <c r="A614" t="s">
        <v>600</v>
      </c>
      <c r="B614" t="s">
        <v>1500</v>
      </c>
      <c r="C614" t="s">
        <v>916</v>
      </c>
      <c r="D614" t="s">
        <v>915</v>
      </c>
      <c r="E614" t="s">
        <v>880</v>
      </c>
      <c r="F614" t="s">
        <v>837</v>
      </c>
      <c r="G614" t="s">
        <v>1810</v>
      </c>
      <c r="H614" t="s">
        <v>1817</v>
      </c>
    </row>
    <row r="615" spans="1:8" x14ac:dyDescent="0.25">
      <c r="A615" t="s">
        <v>2566</v>
      </c>
      <c r="B615" t="s">
        <v>1500</v>
      </c>
      <c r="C615" t="s">
        <v>916</v>
      </c>
      <c r="D615" t="s">
        <v>915</v>
      </c>
      <c r="E615" t="s">
        <v>880</v>
      </c>
      <c r="F615" t="s">
        <v>837</v>
      </c>
      <c r="G615" t="s">
        <v>1810</v>
      </c>
      <c r="H615" t="s">
        <v>1817</v>
      </c>
    </row>
    <row r="616" spans="1:8" x14ac:dyDescent="0.25">
      <c r="A616" t="s">
        <v>601</v>
      </c>
      <c r="B616" t="s">
        <v>1501</v>
      </c>
      <c r="C616" t="s">
        <v>1227</v>
      </c>
      <c r="D616" t="s">
        <v>1226</v>
      </c>
      <c r="E616" t="s">
        <v>875</v>
      </c>
      <c r="F616" t="s">
        <v>874</v>
      </c>
      <c r="G616" t="s">
        <v>1807</v>
      </c>
      <c r="H616" t="s">
        <v>1817</v>
      </c>
    </row>
    <row r="617" spans="1:8" x14ac:dyDescent="0.25">
      <c r="A617" t="s">
        <v>602</v>
      </c>
      <c r="B617" t="s">
        <v>1503</v>
      </c>
      <c r="C617" t="s">
        <v>1502</v>
      </c>
      <c r="D617" t="s">
        <v>884</v>
      </c>
      <c r="E617" t="s">
        <v>867</v>
      </c>
      <c r="F617" t="s">
        <v>849</v>
      </c>
      <c r="G617" t="s">
        <v>1806</v>
      </c>
      <c r="H617" t="s">
        <v>1817</v>
      </c>
    </row>
    <row r="618" spans="1:8" x14ac:dyDescent="0.25">
      <c r="A618" t="s">
        <v>2567</v>
      </c>
      <c r="B618" t="s">
        <v>2568</v>
      </c>
      <c r="C618" t="s">
        <v>1394</v>
      </c>
      <c r="D618" t="s">
        <v>868</v>
      </c>
      <c r="E618" t="s">
        <v>867</v>
      </c>
      <c r="F618" t="s">
        <v>849</v>
      </c>
      <c r="G618" t="s">
        <v>1806</v>
      </c>
      <c r="H618" t="s">
        <v>1817</v>
      </c>
    </row>
    <row r="619" spans="1:8" x14ac:dyDescent="0.25">
      <c r="A619" t="s">
        <v>2569</v>
      </c>
      <c r="B619" t="s">
        <v>2570</v>
      </c>
      <c r="C619" t="s">
        <v>2571</v>
      </c>
      <c r="D619" t="s">
        <v>1036</v>
      </c>
      <c r="E619" t="s">
        <v>1035</v>
      </c>
      <c r="F619" t="s">
        <v>849</v>
      </c>
      <c r="G619" t="s">
        <v>1806</v>
      </c>
      <c r="H619" t="s">
        <v>1817</v>
      </c>
    </row>
    <row r="620" spans="1:8" x14ac:dyDescent="0.25">
      <c r="A620" t="s">
        <v>2572</v>
      </c>
      <c r="B620" t="s">
        <v>2573</v>
      </c>
      <c r="C620" t="s">
        <v>843</v>
      </c>
      <c r="D620" t="s">
        <v>842</v>
      </c>
      <c r="E620" t="s">
        <v>838</v>
      </c>
      <c r="F620" t="s">
        <v>837</v>
      </c>
      <c r="G620" t="s">
        <v>1810</v>
      </c>
      <c r="H620" t="s">
        <v>1817</v>
      </c>
    </row>
    <row r="621" spans="1:8" x14ac:dyDescent="0.25">
      <c r="A621" t="s">
        <v>2780</v>
      </c>
      <c r="B621" t="s">
        <v>2781</v>
      </c>
      <c r="C621" t="s">
        <v>2782</v>
      </c>
      <c r="D621" t="s">
        <v>1670</v>
      </c>
      <c r="E621" t="s">
        <v>1669</v>
      </c>
      <c r="F621" t="s">
        <v>1065</v>
      </c>
      <c r="G621" t="s">
        <v>1809</v>
      </c>
      <c r="H621" t="s">
        <v>1820</v>
      </c>
    </row>
    <row r="622" spans="1:8" x14ac:dyDescent="0.25">
      <c r="A622" t="s">
        <v>603</v>
      </c>
      <c r="B622" t="s">
        <v>1504</v>
      </c>
      <c r="C622" t="s">
        <v>843</v>
      </c>
      <c r="D622" t="s">
        <v>842</v>
      </c>
      <c r="E622" t="s">
        <v>838</v>
      </c>
      <c r="F622" t="s">
        <v>837</v>
      </c>
      <c r="G622" t="s">
        <v>1810</v>
      </c>
      <c r="H622" t="s">
        <v>1817</v>
      </c>
    </row>
    <row r="623" spans="1:8" x14ac:dyDescent="0.25">
      <c r="A623" t="s">
        <v>604</v>
      </c>
      <c r="B623" t="s">
        <v>1788</v>
      </c>
      <c r="C623" t="s">
        <v>1854</v>
      </c>
      <c r="D623" t="s">
        <v>838</v>
      </c>
      <c r="E623" t="s">
        <v>1855</v>
      </c>
      <c r="F623" t="s">
        <v>837</v>
      </c>
      <c r="G623" t="s">
        <v>1810</v>
      </c>
    </row>
    <row r="624" spans="1:8" x14ac:dyDescent="0.25">
      <c r="A624" t="s">
        <v>605</v>
      </c>
      <c r="B624" t="s">
        <v>1505</v>
      </c>
      <c r="C624" t="s">
        <v>908</v>
      </c>
      <c r="D624" t="s">
        <v>907</v>
      </c>
      <c r="E624" t="s">
        <v>838</v>
      </c>
      <c r="F624" t="s">
        <v>837</v>
      </c>
      <c r="G624" t="s">
        <v>1810</v>
      </c>
      <c r="H624" t="s">
        <v>1817</v>
      </c>
    </row>
    <row r="625" spans="1:8" x14ac:dyDescent="0.25">
      <c r="A625" t="s">
        <v>606</v>
      </c>
      <c r="B625" t="s">
        <v>1506</v>
      </c>
      <c r="C625" t="s">
        <v>916</v>
      </c>
      <c r="D625" t="s">
        <v>915</v>
      </c>
      <c r="E625" t="s">
        <v>880</v>
      </c>
      <c r="F625" t="s">
        <v>837</v>
      </c>
      <c r="G625" t="s">
        <v>1810</v>
      </c>
      <c r="H625" t="s">
        <v>1817</v>
      </c>
    </row>
    <row r="626" spans="1:8" x14ac:dyDescent="0.25">
      <c r="A626" t="s">
        <v>607</v>
      </c>
      <c r="B626" t="s">
        <v>1506</v>
      </c>
      <c r="C626" t="s">
        <v>916</v>
      </c>
      <c r="D626" t="s">
        <v>915</v>
      </c>
      <c r="E626" t="s">
        <v>880</v>
      </c>
      <c r="F626" t="s">
        <v>837</v>
      </c>
      <c r="G626" t="s">
        <v>1810</v>
      </c>
      <c r="H626" t="s">
        <v>1817</v>
      </c>
    </row>
    <row r="627" spans="1:8" x14ac:dyDescent="0.25">
      <c r="A627" t="s">
        <v>608</v>
      </c>
      <c r="B627" t="s">
        <v>1508</v>
      </c>
      <c r="C627" t="s">
        <v>1507</v>
      </c>
      <c r="D627" t="s">
        <v>864</v>
      </c>
      <c r="E627" t="s">
        <v>863</v>
      </c>
      <c r="F627" t="s">
        <v>862</v>
      </c>
      <c r="G627" t="s">
        <v>1806</v>
      </c>
      <c r="H627" t="s">
        <v>1817</v>
      </c>
    </row>
    <row r="628" spans="1:8" x14ac:dyDescent="0.25">
      <c r="A628" t="s">
        <v>609</v>
      </c>
      <c r="B628" t="s">
        <v>1510</v>
      </c>
      <c r="C628" t="s">
        <v>1509</v>
      </c>
      <c r="D628" t="s">
        <v>1239</v>
      </c>
      <c r="E628" t="s">
        <v>838</v>
      </c>
      <c r="F628" t="s">
        <v>837</v>
      </c>
      <c r="G628" t="s">
        <v>1810</v>
      </c>
      <c r="H628" t="s">
        <v>1817</v>
      </c>
    </row>
    <row r="629" spans="1:8" x14ac:dyDescent="0.25">
      <c r="A629" t="s">
        <v>2574</v>
      </c>
      <c r="B629" t="s">
        <v>2575</v>
      </c>
      <c r="C629" t="s">
        <v>1312</v>
      </c>
      <c r="D629" t="s">
        <v>1311</v>
      </c>
      <c r="E629" t="s">
        <v>838</v>
      </c>
      <c r="F629" t="s">
        <v>837</v>
      </c>
      <c r="G629" t="s">
        <v>1810</v>
      </c>
      <c r="H629" t="s">
        <v>1817</v>
      </c>
    </row>
    <row r="630" spans="1:8" x14ac:dyDescent="0.25">
      <c r="A630" t="s">
        <v>610</v>
      </c>
      <c r="B630" t="s">
        <v>1512</v>
      </c>
      <c r="C630" t="s">
        <v>1511</v>
      </c>
      <c r="D630" t="s">
        <v>846</v>
      </c>
      <c r="E630" t="s">
        <v>838</v>
      </c>
      <c r="F630" t="s">
        <v>837</v>
      </c>
      <c r="G630" t="s">
        <v>1810</v>
      </c>
      <c r="H630" t="s">
        <v>1817</v>
      </c>
    </row>
    <row r="631" spans="1:8" x14ac:dyDescent="0.25">
      <c r="A631" t="s">
        <v>611</v>
      </c>
      <c r="B631" t="s">
        <v>1513</v>
      </c>
      <c r="C631" t="s">
        <v>1348</v>
      </c>
      <c r="D631" t="s">
        <v>1029</v>
      </c>
      <c r="E631" t="s">
        <v>867</v>
      </c>
      <c r="F631" t="s">
        <v>849</v>
      </c>
      <c r="G631" t="s">
        <v>1806</v>
      </c>
      <c r="H631" t="s">
        <v>1817</v>
      </c>
    </row>
    <row r="632" spans="1:8" x14ac:dyDescent="0.25">
      <c r="A632" t="s">
        <v>2787</v>
      </c>
      <c r="B632" t="s">
        <v>1516</v>
      </c>
      <c r="C632" t="s">
        <v>1515</v>
      </c>
      <c r="D632" t="s">
        <v>1514</v>
      </c>
      <c r="E632" t="s">
        <v>838</v>
      </c>
      <c r="F632" t="s">
        <v>837</v>
      </c>
      <c r="G632" t="s">
        <v>1810</v>
      </c>
    </row>
    <row r="633" spans="1:8" x14ac:dyDescent="0.25">
      <c r="A633" t="s">
        <v>612</v>
      </c>
      <c r="B633" t="s">
        <v>1516</v>
      </c>
      <c r="C633" t="s">
        <v>1515</v>
      </c>
      <c r="D633" t="s">
        <v>1514</v>
      </c>
      <c r="E633" t="s">
        <v>838</v>
      </c>
      <c r="F633" t="s">
        <v>837</v>
      </c>
      <c r="G633" t="s">
        <v>1810</v>
      </c>
      <c r="H633" t="s">
        <v>1817</v>
      </c>
    </row>
    <row r="634" spans="1:8" x14ac:dyDescent="0.25">
      <c r="A634" t="s">
        <v>613</v>
      </c>
      <c r="B634" t="s">
        <v>1518</v>
      </c>
      <c r="C634" t="s">
        <v>1517</v>
      </c>
      <c r="D634" t="s">
        <v>1080</v>
      </c>
      <c r="E634" t="s">
        <v>923</v>
      </c>
      <c r="F634" t="s">
        <v>862</v>
      </c>
      <c r="G634" t="s">
        <v>1806</v>
      </c>
      <c r="H634" t="s">
        <v>1817</v>
      </c>
    </row>
    <row r="635" spans="1:8" x14ac:dyDescent="0.25">
      <c r="A635" t="s">
        <v>614</v>
      </c>
      <c r="B635" t="s">
        <v>1519</v>
      </c>
      <c r="C635" t="s">
        <v>1278</v>
      </c>
      <c r="D635" t="s">
        <v>1075</v>
      </c>
      <c r="E635" t="s">
        <v>889</v>
      </c>
      <c r="F635" t="s">
        <v>862</v>
      </c>
      <c r="G635" t="s">
        <v>1806</v>
      </c>
      <c r="H635" t="s">
        <v>1817</v>
      </c>
    </row>
    <row r="636" spans="1:8" x14ac:dyDescent="0.25">
      <c r="A636" t="s">
        <v>615</v>
      </c>
      <c r="B636" t="s">
        <v>1521</v>
      </c>
      <c r="C636" t="s">
        <v>1520</v>
      </c>
      <c r="D636" t="s">
        <v>1075</v>
      </c>
      <c r="E636" t="s">
        <v>889</v>
      </c>
      <c r="F636" t="s">
        <v>862</v>
      </c>
      <c r="G636" t="s">
        <v>1806</v>
      </c>
      <c r="H636" t="s">
        <v>1817</v>
      </c>
    </row>
    <row r="637" spans="1:8" x14ac:dyDescent="0.25">
      <c r="A637" t="s">
        <v>616</v>
      </c>
      <c r="B637" t="s">
        <v>1522</v>
      </c>
      <c r="C637" t="s">
        <v>954</v>
      </c>
      <c r="D637" t="s">
        <v>953</v>
      </c>
      <c r="E637" t="s">
        <v>838</v>
      </c>
      <c r="F637" t="s">
        <v>837</v>
      </c>
      <c r="G637" t="s">
        <v>1810</v>
      </c>
      <c r="H637" t="s">
        <v>1817</v>
      </c>
    </row>
    <row r="638" spans="1:8" x14ac:dyDescent="0.25">
      <c r="A638" t="s">
        <v>617</v>
      </c>
      <c r="B638" t="s">
        <v>1523</v>
      </c>
      <c r="C638" t="s">
        <v>1462</v>
      </c>
      <c r="D638" t="s">
        <v>868</v>
      </c>
      <c r="E638" t="s">
        <v>867</v>
      </c>
      <c r="F638" t="s">
        <v>849</v>
      </c>
      <c r="G638" t="s">
        <v>1806</v>
      </c>
      <c r="H638" t="s">
        <v>1817</v>
      </c>
    </row>
    <row r="639" spans="1:8" x14ac:dyDescent="0.25">
      <c r="A639" t="s">
        <v>2576</v>
      </c>
      <c r="B639" t="s">
        <v>2577</v>
      </c>
      <c r="C639" t="s">
        <v>1474</v>
      </c>
      <c r="D639" t="s">
        <v>972</v>
      </c>
      <c r="E639" t="s">
        <v>968</v>
      </c>
      <c r="F639" t="s">
        <v>862</v>
      </c>
      <c r="G639" t="s">
        <v>1806</v>
      </c>
      <c r="H639" t="s">
        <v>1817</v>
      </c>
    </row>
    <row r="640" spans="1:8" x14ac:dyDescent="0.25">
      <c r="A640" t="s">
        <v>618</v>
      </c>
      <c r="B640" t="s">
        <v>1526</v>
      </c>
      <c r="C640" t="s">
        <v>1525</v>
      </c>
      <c r="D640" t="s">
        <v>1524</v>
      </c>
      <c r="E640" t="s">
        <v>838</v>
      </c>
      <c r="F640" t="s">
        <v>837</v>
      </c>
      <c r="G640" t="s">
        <v>1810</v>
      </c>
      <c r="H640" t="s">
        <v>1817</v>
      </c>
    </row>
    <row r="641" spans="1:8" x14ac:dyDescent="0.25">
      <c r="A641" t="s">
        <v>2578</v>
      </c>
      <c r="B641" t="s">
        <v>1528</v>
      </c>
      <c r="C641" t="s">
        <v>1527</v>
      </c>
      <c r="D641" t="s">
        <v>900</v>
      </c>
      <c r="E641" t="s">
        <v>838</v>
      </c>
      <c r="F641" t="s">
        <v>837</v>
      </c>
      <c r="G641" t="s">
        <v>1810</v>
      </c>
      <c r="H641" t="s">
        <v>1817</v>
      </c>
    </row>
    <row r="642" spans="1:8" x14ac:dyDescent="0.25">
      <c r="A642" t="s">
        <v>619</v>
      </c>
      <c r="B642" t="s">
        <v>1528</v>
      </c>
      <c r="C642" t="s">
        <v>1527</v>
      </c>
      <c r="D642" t="s">
        <v>900</v>
      </c>
      <c r="E642" t="s">
        <v>838</v>
      </c>
      <c r="F642" t="s">
        <v>837</v>
      </c>
      <c r="G642" t="s">
        <v>1810</v>
      </c>
      <c r="H642" t="s">
        <v>1817</v>
      </c>
    </row>
    <row r="643" spans="1:8" x14ac:dyDescent="0.25">
      <c r="A643" t="s">
        <v>620</v>
      </c>
      <c r="B643" t="s">
        <v>1532</v>
      </c>
      <c r="C643" t="s">
        <v>1531</v>
      </c>
      <c r="D643" t="s">
        <v>1530</v>
      </c>
      <c r="E643" t="s">
        <v>1529</v>
      </c>
      <c r="F643" t="s">
        <v>862</v>
      </c>
      <c r="G643" t="s">
        <v>1806</v>
      </c>
      <c r="H643" t="s">
        <v>1817</v>
      </c>
    </row>
    <row r="644" spans="1:8" x14ac:dyDescent="0.25">
      <c r="A644" t="s">
        <v>621</v>
      </c>
      <c r="B644" t="s">
        <v>1789</v>
      </c>
      <c r="C644" t="s">
        <v>1856</v>
      </c>
      <c r="D644" t="s">
        <v>979</v>
      </c>
      <c r="E644" t="s">
        <v>980</v>
      </c>
      <c r="F644" t="s">
        <v>978</v>
      </c>
      <c r="G644" t="s">
        <v>1809</v>
      </c>
    </row>
    <row r="645" spans="1:8" x14ac:dyDescent="0.25">
      <c r="A645" t="s">
        <v>2579</v>
      </c>
      <c r="B645" t="s">
        <v>2580</v>
      </c>
      <c r="C645" t="s">
        <v>916</v>
      </c>
      <c r="D645" t="s">
        <v>915</v>
      </c>
      <c r="E645" t="s">
        <v>880</v>
      </c>
      <c r="F645" t="s">
        <v>837</v>
      </c>
      <c r="G645" t="s">
        <v>1810</v>
      </c>
      <c r="H645" t="s">
        <v>1817</v>
      </c>
    </row>
    <row r="646" spans="1:8" x14ac:dyDescent="0.25">
      <c r="A646" t="s">
        <v>2581</v>
      </c>
      <c r="B646" t="s">
        <v>2580</v>
      </c>
      <c r="C646" t="s">
        <v>916</v>
      </c>
      <c r="D646" t="s">
        <v>915</v>
      </c>
      <c r="E646" t="s">
        <v>880</v>
      </c>
      <c r="F646" t="s">
        <v>837</v>
      </c>
      <c r="G646" t="s">
        <v>1810</v>
      </c>
      <c r="H646" t="s">
        <v>1817</v>
      </c>
    </row>
    <row r="647" spans="1:8" x14ac:dyDescent="0.25">
      <c r="A647" t="s">
        <v>622</v>
      </c>
      <c r="B647" t="s">
        <v>1535</v>
      </c>
      <c r="C647" t="s">
        <v>1534</v>
      </c>
      <c r="D647" t="s">
        <v>1533</v>
      </c>
      <c r="E647" t="s">
        <v>968</v>
      </c>
      <c r="F647" t="s">
        <v>862</v>
      </c>
      <c r="G647" t="s">
        <v>1806</v>
      </c>
      <c r="H647" t="s">
        <v>1817</v>
      </c>
    </row>
    <row r="648" spans="1:8" x14ac:dyDescent="0.25">
      <c r="A648" t="s">
        <v>623</v>
      </c>
      <c r="B648" t="s">
        <v>1536</v>
      </c>
      <c r="C648" t="s">
        <v>1408</v>
      </c>
      <c r="D648" t="s">
        <v>1407</v>
      </c>
      <c r="E648" t="s">
        <v>863</v>
      </c>
      <c r="F648" t="s">
        <v>862</v>
      </c>
      <c r="G648" t="s">
        <v>1806</v>
      </c>
      <c r="H648" t="s">
        <v>1817</v>
      </c>
    </row>
    <row r="649" spans="1:8" x14ac:dyDescent="0.25">
      <c r="A649" t="s">
        <v>624</v>
      </c>
      <c r="B649" t="s">
        <v>1537</v>
      </c>
      <c r="C649" t="s">
        <v>929</v>
      </c>
      <c r="D649" t="s">
        <v>928</v>
      </c>
      <c r="E649" t="s">
        <v>867</v>
      </c>
      <c r="F649" t="s">
        <v>849</v>
      </c>
      <c r="G649" t="s">
        <v>1806</v>
      </c>
      <c r="H649" t="s">
        <v>1817</v>
      </c>
    </row>
    <row r="650" spans="1:8" x14ac:dyDescent="0.25">
      <c r="A650" t="s">
        <v>2582</v>
      </c>
      <c r="B650" t="s">
        <v>2583</v>
      </c>
      <c r="C650" t="s">
        <v>1853</v>
      </c>
      <c r="D650" t="s">
        <v>846</v>
      </c>
      <c r="E650" t="s">
        <v>838</v>
      </c>
      <c r="F650" t="s">
        <v>837</v>
      </c>
      <c r="G650" t="s">
        <v>1810</v>
      </c>
      <c r="H650" t="s">
        <v>1817</v>
      </c>
    </row>
    <row r="651" spans="1:8" x14ac:dyDescent="0.25">
      <c r="A651" t="s">
        <v>625</v>
      </c>
      <c r="B651" t="s">
        <v>1538</v>
      </c>
      <c r="C651" t="s">
        <v>1394</v>
      </c>
      <c r="D651" t="s">
        <v>868</v>
      </c>
      <c r="E651" t="s">
        <v>867</v>
      </c>
      <c r="F651" t="s">
        <v>849</v>
      </c>
      <c r="G651" t="s">
        <v>1806</v>
      </c>
      <c r="H651" t="s">
        <v>1817</v>
      </c>
    </row>
    <row r="652" spans="1:8" x14ac:dyDescent="0.25">
      <c r="A652" t="s">
        <v>626</v>
      </c>
      <c r="B652" t="s">
        <v>1538</v>
      </c>
      <c r="C652" t="s">
        <v>1394</v>
      </c>
      <c r="D652" t="s">
        <v>868</v>
      </c>
      <c r="E652" t="s">
        <v>867</v>
      </c>
      <c r="F652" t="s">
        <v>849</v>
      </c>
      <c r="G652" t="s">
        <v>1806</v>
      </c>
      <c r="H652" t="s">
        <v>1817</v>
      </c>
    </row>
    <row r="653" spans="1:8" x14ac:dyDescent="0.25">
      <c r="A653" t="s">
        <v>627</v>
      </c>
      <c r="B653" t="s">
        <v>1539</v>
      </c>
      <c r="C653" t="s">
        <v>1286</v>
      </c>
      <c r="D653" t="s">
        <v>871</v>
      </c>
      <c r="E653" t="s">
        <v>867</v>
      </c>
      <c r="F653" t="s">
        <v>849</v>
      </c>
      <c r="G653" t="s">
        <v>1806</v>
      </c>
      <c r="H653" t="s">
        <v>1817</v>
      </c>
    </row>
    <row r="654" spans="1:8" x14ac:dyDescent="0.25">
      <c r="A654" t="s">
        <v>628</v>
      </c>
      <c r="B654" t="s">
        <v>1540</v>
      </c>
      <c r="C654" t="s">
        <v>1201</v>
      </c>
      <c r="D654" t="s">
        <v>1200</v>
      </c>
      <c r="E654" t="s">
        <v>880</v>
      </c>
      <c r="F654" t="s">
        <v>837</v>
      </c>
      <c r="G654" t="s">
        <v>1810</v>
      </c>
      <c r="H654" t="s">
        <v>1817</v>
      </c>
    </row>
    <row r="655" spans="1:8" x14ac:dyDescent="0.25">
      <c r="A655" t="s">
        <v>629</v>
      </c>
      <c r="B655" t="s">
        <v>1543</v>
      </c>
      <c r="C655" t="s">
        <v>1542</v>
      </c>
      <c r="D655" t="s">
        <v>1541</v>
      </c>
      <c r="E655" t="s">
        <v>1066</v>
      </c>
      <c r="F655" t="s">
        <v>1065</v>
      </c>
      <c r="G655" t="s">
        <v>1809</v>
      </c>
      <c r="H655" t="s">
        <v>1817</v>
      </c>
    </row>
    <row r="656" spans="1:8" x14ac:dyDescent="0.25">
      <c r="A656" t="s">
        <v>2584</v>
      </c>
      <c r="B656" t="s">
        <v>2585</v>
      </c>
      <c r="C656" t="s">
        <v>891</v>
      </c>
      <c r="D656" t="s">
        <v>890</v>
      </c>
      <c r="E656" t="s">
        <v>889</v>
      </c>
      <c r="F656" t="s">
        <v>862</v>
      </c>
      <c r="G656" t="s">
        <v>1806</v>
      </c>
      <c r="H656" t="s">
        <v>1817</v>
      </c>
    </row>
    <row r="657" spans="1:8" x14ac:dyDescent="0.25">
      <c r="A657" t="s">
        <v>630</v>
      </c>
      <c r="B657" t="s">
        <v>1544</v>
      </c>
      <c r="C657" t="s">
        <v>916</v>
      </c>
      <c r="D657" t="s">
        <v>915</v>
      </c>
      <c r="E657" t="s">
        <v>880</v>
      </c>
      <c r="F657" t="s">
        <v>837</v>
      </c>
      <c r="G657" t="s">
        <v>1810</v>
      </c>
      <c r="H657" t="s">
        <v>1817</v>
      </c>
    </row>
    <row r="658" spans="1:8" x14ac:dyDescent="0.25">
      <c r="A658" t="s">
        <v>631</v>
      </c>
      <c r="B658" t="s">
        <v>1545</v>
      </c>
      <c r="C658" t="s">
        <v>1348</v>
      </c>
      <c r="D658" t="s">
        <v>1029</v>
      </c>
      <c r="E658" t="s">
        <v>867</v>
      </c>
      <c r="F658" t="s">
        <v>849</v>
      </c>
      <c r="G658" t="s">
        <v>1806</v>
      </c>
      <c r="H658" t="s">
        <v>1817</v>
      </c>
    </row>
    <row r="659" spans="1:8" x14ac:dyDescent="0.25">
      <c r="A659" t="s">
        <v>2586</v>
      </c>
      <c r="B659" t="s">
        <v>2587</v>
      </c>
      <c r="C659" t="s">
        <v>1101</v>
      </c>
      <c r="D659" t="s">
        <v>846</v>
      </c>
      <c r="E659" t="s">
        <v>838</v>
      </c>
      <c r="F659" t="s">
        <v>837</v>
      </c>
      <c r="G659" t="s">
        <v>1810</v>
      </c>
      <c r="H659" t="s">
        <v>1817</v>
      </c>
    </row>
    <row r="660" spans="1:8" x14ac:dyDescent="0.25">
      <c r="A660" t="s">
        <v>632</v>
      </c>
      <c r="B660" t="s">
        <v>1546</v>
      </c>
      <c r="C660" t="s">
        <v>1043</v>
      </c>
      <c r="D660" t="s">
        <v>1029</v>
      </c>
      <c r="E660" t="s">
        <v>867</v>
      </c>
      <c r="F660" t="s">
        <v>849</v>
      </c>
      <c r="G660" t="s">
        <v>1806</v>
      </c>
      <c r="H660" t="s">
        <v>1817</v>
      </c>
    </row>
    <row r="661" spans="1:8" x14ac:dyDescent="0.25">
      <c r="A661" t="s">
        <v>633</v>
      </c>
      <c r="B661" t="s">
        <v>1790</v>
      </c>
      <c r="C661" t="s">
        <v>916</v>
      </c>
      <c r="D661" t="s">
        <v>838</v>
      </c>
      <c r="E661" t="s">
        <v>915</v>
      </c>
      <c r="F661" t="s">
        <v>837</v>
      </c>
      <c r="G661" t="s">
        <v>1810</v>
      </c>
    </row>
    <row r="662" spans="1:8" x14ac:dyDescent="0.25">
      <c r="A662" t="s">
        <v>2588</v>
      </c>
      <c r="B662" t="s">
        <v>2589</v>
      </c>
      <c r="C662" t="s">
        <v>2590</v>
      </c>
      <c r="D662" t="s">
        <v>2591</v>
      </c>
      <c r="E662" t="s">
        <v>1669</v>
      </c>
      <c r="F662" t="s">
        <v>1065</v>
      </c>
      <c r="G662" t="s">
        <v>1809</v>
      </c>
      <c r="H662" t="s">
        <v>1817</v>
      </c>
    </row>
    <row r="663" spans="1:8" x14ac:dyDescent="0.25">
      <c r="A663" t="s">
        <v>634</v>
      </c>
      <c r="B663" t="s">
        <v>1547</v>
      </c>
      <c r="C663" t="s">
        <v>1011</v>
      </c>
      <c r="D663" t="s">
        <v>884</v>
      </c>
      <c r="E663" t="s">
        <v>867</v>
      </c>
      <c r="F663" t="s">
        <v>849</v>
      </c>
      <c r="G663" t="s">
        <v>1806</v>
      </c>
      <c r="H663" t="s">
        <v>1817</v>
      </c>
    </row>
    <row r="664" spans="1:8" x14ac:dyDescent="0.25">
      <c r="A664" t="s">
        <v>635</v>
      </c>
      <c r="B664" t="s">
        <v>1549</v>
      </c>
      <c r="C664" t="s">
        <v>1548</v>
      </c>
      <c r="D664" t="s">
        <v>900</v>
      </c>
      <c r="E664" t="s">
        <v>838</v>
      </c>
      <c r="F664" t="s">
        <v>837</v>
      </c>
      <c r="G664" t="s">
        <v>1810</v>
      </c>
      <c r="H664" t="s">
        <v>1817</v>
      </c>
    </row>
    <row r="665" spans="1:8" x14ac:dyDescent="0.25">
      <c r="A665" t="s">
        <v>636</v>
      </c>
      <c r="B665" t="s">
        <v>1552</v>
      </c>
      <c r="C665" t="s">
        <v>1551</v>
      </c>
      <c r="D665" t="s">
        <v>1550</v>
      </c>
      <c r="E665" t="s">
        <v>939</v>
      </c>
      <c r="F665" t="s">
        <v>938</v>
      </c>
      <c r="G665" t="s">
        <v>1808</v>
      </c>
      <c r="H665" t="s">
        <v>1817</v>
      </c>
    </row>
    <row r="666" spans="1:8" x14ac:dyDescent="0.25">
      <c r="A666" t="s">
        <v>2592</v>
      </c>
      <c r="B666" t="s">
        <v>1552</v>
      </c>
      <c r="C666" t="s">
        <v>1551</v>
      </c>
      <c r="D666" t="s">
        <v>1550</v>
      </c>
      <c r="E666" t="s">
        <v>939</v>
      </c>
      <c r="F666" t="s">
        <v>938</v>
      </c>
      <c r="G666" t="s">
        <v>1808</v>
      </c>
      <c r="H666" t="s">
        <v>1817</v>
      </c>
    </row>
    <row r="667" spans="1:8" x14ac:dyDescent="0.25">
      <c r="A667" t="s">
        <v>2593</v>
      </c>
      <c r="B667" t="s">
        <v>1552</v>
      </c>
      <c r="C667" t="s">
        <v>1551</v>
      </c>
      <c r="D667" t="s">
        <v>1550</v>
      </c>
      <c r="E667" t="s">
        <v>939</v>
      </c>
      <c r="F667" t="s">
        <v>938</v>
      </c>
      <c r="G667" t="s">
        <v>1808</v>
      </c>
      <c r="H667" t="s">
        <v>1817</v>
      </c>
    </row>
    <row r="668" spans="1:8" x14ac:dyDescent="0.25">
      <c r="A668" t="s">
        <v>637</v>
      </c>
      <c r="B668" t="s">
        <v>1552</v>
      </c>
      <c r="C668" t="s">
        <v>1551</v>
      </c>
      <c r="D668" t="s">
        <v>1550</v>
      </c>
      <c r="E668" t="s">
        <v>939</v>
      </c>
      <c r="F668" t="s">
        <v>938</v>
      </c>
      <c r="G668" t="s">
        <v>1808</v>
      </c>
      <c r="H668" t="s">
        <v>1817</v>
      </c>
    </row>
    <row r="669" spans="1:8" x14ac:dyDescent="0.25">
      <c r="A669" t="s">
        <v>2594</v>
      </c>
      <c r="B669" t="s">
        <v>1552</v>
      </c>
      <c r="C669" t="s">
        <v>1551</v>
      </c>
      <c r="D669" t="s">
        <v>1550</v>
      </c>
      <c r="E669" t="s">
        <v>939</v>
      </c>
      <c r="F669" t="s">
        <v>938</v>
      </c>
      <c r="G669" t="s">
        <v>1808</v>
      </c>
      <c r="H669" t="s">
        <v>1817</v>
      </c>
    </row>
    <row r="670" spans="1:8" x14ac:dyDescent="0.25">
      <c r="A670" t="s">
        <v>2595</v>
      </c>
      <c r="B670" t="s">
        <v>2596</v>
      </c>
      <c r="C670" t="s">
        <v>2597</v>
      </c>
      <c r="D670" t="s">
        <v>1029</v>
      </c>
      <c r="E670" t="s">
        <v>867</v>
      </c>
      <c r="F670" t="s">
        <v>849</v>
      </c>
      <c r="G670" t="s">
        <v>1806</v>
      </c>
      <c r="H670" t="s">
        <v>1817</v>
      </c>
    </row>
    <row r="671" spans="1:8" x14ac:dyDescent="0.25">
      <c r="A671" t="s">
        <v>638</v>
      </c>
      <c r="B671" t="s">
        <v>1553</v>
      </c>
      <c r="C671" t="s">
        <v>908</v>
      </c>
      <c r="D671" t="s">
        <v>907</v>
      </c>
      <c r="E671" t="s">
        <v>838</v>
      </c>
      <c r="F671" t="s">
        <v>837</v>
      </c>
      <c r="G671" t="s">
        <v>1810</v>
      </c>
      <c r="H671" t="s">
        <v>1817</v>
      </c>
    </row>
    <row r="672" spans="1:8" x14ac:dyDescent="0.25">
      <c r="A672" t="s">
        <v>639</v>
      </c>
      <c r="B672" t="s">
        <v>1555</v>
      </c>
      <c r="C672" t="s">
        <v>1554</v>
      </c>
      <c r="D672" t="s">
        <v>1143</v>
      </c>
      <c r="E672" t="s">
        <v>1142</v>
      </c>
      <c r="F672" t="s">
        <v>837</v>
      </c>
      <c r="G672" t="s">
        <v>1810</v>
      </c>
      <c r="H672" t="s">
        <v>1817</v>
      </c>
    </row>
    <row r="673" spans="1:8" x14ac:dyDescent="0.25">
      <c r="A673" t="s">
        <v>2598</v>
      </c>
      <c r="B673" t="s">
        <v>1555</v>
      </c>
      <c r="C673" t="s">
        <v>1554</v>
      </c>
      <c r="D673" t="s">
        <v>1143</v>
      </c>
      <c r="E673" t="s">
        <v>1142</v>
      </c>
      <c r="F673" t="s">
        <v>837</v>
      </c>
      <c r="G673" t="s">
        <v>1810</v>
      </c>
      <c r="H673" t="s">
        <v>1817</v>
      </c>
    </row>
    <row r="674" spans="1:8" x14ac:dyDescent="0.25">
      <c r="A674" t="s">
        <v>640</v>
      </c>
      <c r="B674" t="s">
        <v>1555</v>
      </c>
      <c r="C674" t="s">
        <v>1554</v>
      </c>
      <c r="D674" t="s">
        <v>1143</v>
      </c>
      <c r="E674" t="s">
        <v>1142</v>
      </c>
      <c r="F674" t="s">
        <v>837</v>
      </c>
      <c r="G674" t="s">
        <v>1810</v>
      </c>
      <c r="H674" t="s">
        <v>1817</v>
      </c>
    </row>
    <row r="675" spans="1:8" x14ac:dyDescent="0.25">
      <c r="A675" t="s">
        <v>2599</v>
      </c>
      <c r="B675" t="s">
        <v>1555</v>
      </c>
      <c r="C675" t="s">
        <v>1554</v>
      </c>
      <c r="D675" t="s">
        <v>1143</v>
      </c>
      <c r="E675" t="s">
        <v>1142</v>
      </c>
      <c r="F675" t="s">
        <v>837</v>
      </c>
      <c r="G675" t="s">
        <v>1810</v>
      </c>
      <c r="H675" t="s">
        <v>1817</v>
      </c>
    </row>
    <row r="676" spans="1:8" x14ac:dyDescent="0.25">
      <c r="A676" t="s">
        <v>2600</v>
      </c>
      <c r="B676" t="s">
        <v>1555</v>
      </c>
      <c r="C676" t="s">
        <v>1554</v>
      </c>
      <c r="D676" t="s">
        <v>1143</v>
      </c>
      <c r="E676" t="s">
        <v>1142</v>
      </c>
      <c r="F676" t="s">
        <v>837</v>
      </c>
      <c r="G676" t="s">
        <v>1810</v>
      </c>
      <c r="H676" t="s">
        <v>1817</v>
      </c>
    </row>
    <row r="677" spans="1:8" x14ac:dyDescent="0.25">
      <c r="A677" t="s">
        <v>2601</v>
      </c>
      <c r="B677" t="s">
        <v>1555</v>
      </c>
      <c r="C677" t="s">
        <v>1554</v>
      </c>
      <c r="D677" t="s">
        <v>1143</v>
      </c>
      <c r="E677" t="s">
        <v>1142</v>
      </c>
      <c r="F677" t="s">
        <v>837</v>
      </c>
      <c r="G677" t="s">
        <v>1810</v>
      </c>
      <c r="H677" t="s">
        <v>1817</v>
      </c>
    </row>
    <row r="678" spans="1:8" x14ac:dyDescent="0.25">
      <c r="A678" t="s">
        <v>641</v>
      </c>
      <c r="B678" t="s">
        <v>1555</v>
      </c>
      <c r="C678" t="s">
        <v>1554</v>
      </c>
      <c r="D678" t="s">
        <v>1143</v>
      </c>
      <c r="E678" t="s">
        <v>1142</v>
      </c>
      <c r="F678" t="s">
        <v>837</v>
      </c>
      <c r="G678" t="s">
        <v>1810</v>
      </c>
      <c r="H678" t="s">
        <v>1817</v>
      </c>
    </row>
    <row r="679" spans="1:8" x14ac:dyDescent="0.25">
      <c r="A679" t="s">
        <v>642</v>
      </c>
      <c r="B679" t="s">
        <v>1555</v>
      </c>
      <c r="C679" t="s">
        <v>1554</v>
      </c>
      <c r="D679" t="s">
        <v>1143</v>
      </c>
      <c r="E679" t="s">
        <v>1142</v>
      </c>
      <c r="F679" t="s">
        <v>837</v>
      </c>
      <c r="G679" t="s">
        <v>1810</v>
      </c>
      <c r="H679" t="s">
        <v>1817</v>
      </c>
    </row>
    <row r="680" spans="1:8" x14ac:dyDescent="0.25">
      <c r="A680" t="s">
        <v>2602</v>
      </c>
      <c r="B680" t="s">
        <v>1555</v>
      </c>
      <c r="C680" t="s">
        <v>1554</v>
      </c>
      <c r="D680" t="s">
        <v>1143</v>
      </c>
      <c r="E680" t="s">
        <v>1142</v>
      </c>
      <c r="F680" t="s">
        <v>837</v>
      </c>
      <c r="G680" t="s">
        <v>1810</v>
      </c>
      <c r="H680" t="s">
        <v>1817</v>
      </c>
    </row>
    <row r="681" spans="1:8" x14ac:dyDescent="0.25">
      <c r="A681" t="s">
        <v>643</v>
      </c>
      <c r="B681" t="s">
        <v>1555</v>
      </c>
      <c r="C681" t="s">
        <v>1554</v>
      </c>
      <c r="D681" t="s">
        <v>1143</v>
      </c>
      <c r="E681" t="s">
        <v>1142</v>
      </c>
      <c r="F681" t="s">
        <v>837</v>
      </c>
      <c r="G681" t="s">
        <v>1810</v>
      </c>
      <c r="H681" t="s">
        <v>1817</v>
      </c>
    </row>
    <row r="682" spans="1:8" x14ac:dyDescent="0.25">
      <c r="A682" t="s">
        <v>644</v>
      </c>
      <c r="B682" t="s">
        <v>1556</v>
      </c>
      <c r="C682" t="s">
        <v>1112</v>
      </c>
      <c r="D682" t="s">
        <v>1111</v>
      </c>
      <c r="E682" t="s">
        <v>880</v>
      </c>
      <c r="F682" t="s">
        <v>837</v>
      </c>
      <c r="G682" t="s">
        <v>1810</v>
      </c>
      <c r="H682" t="s">
        <v>1817</v>
      </c>
    </row>
    <row r="683" spans="1:8" x14ac:dyDescent="0.25">
      <c r="A683" t="s">
        <v>645</v>
      </c>
      <c r="B683" t="s">
        <v>1558</v>
      </c>
      <c r="C683" t="s">
        <v>1557</v>
      </c>
      <c r="D683" t="s">
        <v>1311</v>
      </c>
      <c r="E683" t="s">
        <v>838</v>
      </c>
      <c r="F683" t="s">
        <v>837</v>
      </c>
      <c r="G683" t="s">
        <v>1810</v>
      </c>
      <c r="H683" t="s">
        <v>1817</v>
      </c>
    </row>
    <row r="684" spans="1:8" x14ac:dyDescent="0.25">
      <c r="A684" t="s">
        <v>646</v>
      </c>
      <c r="B684" t="s">
        <v>1560</v>
      </c>
      <c r="C684" t="s">
        <v>1559</v>
      </c>
      <c r="D684" t="s">
        <v>1288</v>
      </c>
      <c r="E684" t="s">
        <v>838</v>
      </c>
      <c r="F684" t="s">
        <v>837</v>
      </c>
      <c r="G684" t="s">
        <v>1810</v>
      </c>
      <c r="H684" t="s">
        <v>1819</v>
      </c>
    </row>
    <row r="685" spans="1:8" x14ac:dyDescent="0.25">
      <c r="A685" t="s">
        <v>2603</v>
      </c>
      <c r="B685" t="s">
        <v>2604</v>
      </c>
      <c r="C685" t="s">
        <v>2497</v>
      </c>
      <c r="D685" t="s">
        <v>846</v>
      </c>
      <c r="E685" t="s">
        <v>838</v>
      </c>
      <c r="F685" t="s">
        <v>837</v>
      </c>
      <c r="G685" t="s">
        <v>1810</v>
      </c>
      <c r="H685" t="s">
        <v>1817</v>
      </c>
    </row>
    <row r="686" spans="1:8" x14ac:dyDescent="0.25">
      <c r="A686" t="s">
        <v>647</v>
      </c>
      <c r="B686" t="s">
        <v>1562</v>
      </c>
      <c r="C686" t="s">
        <v>1561</v>
      </c>
      <c r="D686" t="s">
        <v>864</v>
      </c>
      <c r="E686" t="s">
        <v>863</v>
      </c>
      <c r="F686" t="s">
        <v>862</v>
      </c>
      <c r="G686" t="s">
        <v>1806</v>
      </c>
      <c r="H686" t="s">
        <v>1817</v>
      </c>
    </row>
    <row r="687" spans="1:8" x14ac:dyDescent="0.25">
      <c r="A687" t="s">
        <v>648</v>
      </c>
      <c r="B687" t="s">
        <v>1564</v>
      </c>
      <c r="C687" t="s">
        <v>1563</v>
      </c>
      <c r="D687" t="s">
        <v>1029</v>
      </c>
      <c r="E687" t="s">
        <v>867</v>
      </c>
      <c r="F687" t="s">
        <v>849</v>
      </c>
      <c r="G687" t="s">
        <v>1806</v>
      </c>
      <c r="H687" t="s">
        <v>1817</v>
      </c>
    </row>
    <row r="688" spans="1:8" x14ac:dyDescent="0.25">
      <c r="A688" t="s">
        <v>649</v>
      </c>
      <c r="B688" t="s">
        <v>1565</v>
      </c>
      <c r="C688" t="s">
        <v>1268</v>
      </c>
      <c r="D688" t="s">
        <v>1258</v>
      </c>
      <c r="E688" t="s">
        <v>889</v>
      </c>
      <c r="F688" t="s">
        <v>862</v>
      </c>
      <c r="G688" t="s">
        <v>1806</v>
      </c>
      <c r="H688" t="s">
        <v>1817</v>
      </c>
    </row>
    <row r="689" spans="1:8" x14ac:dyDescent="0.25">
      <c r="A689" t="s">
        <v>650</v>
      </c>
      <c r="B689" t="s">
        <v>1565</v>
      </c>
      <c r="C689" t="s">
        <v>1268</v>
      </c>
      <c r="D689" t="s">
        <v>1258</v>
      </c>
      <c r="E689" t="s">
        <v>889</v>
      </c>
      <c r="F689" t="s">
        <v>862</v>
      </c>
      <c r="G689" t="s">
        <v>1806</v>
      </c>
      <c r="H689" t="s">
        <v>1817</v>
      </c>
    </row>
    <row r="690" spans="1:8" x14ac:dyDescent="0.25">
      <c r="A690" t="s">
        <v>2605</v>
      </c>
      <c r="B690" t="s">
        <v>2606</v>
      </c>
      <c r="C690" t="s">
        <v>2607</v>
      </c>
      <c r="D690" t="s">
        <v>928</v>
      </c>
      <c r="E690" t="s">
        <v>867</v>
      </c>
      <c r="F690" t="s">
        <v>849</v>
      </c>
      <c r="G690" t="s">
        <v>1806</v>
      </c>
      <c r="H690" t="s">
        <v>1817</v>
      </c>
    </row>
    <row r="691" spans="1:8" x14ac:dyDescent="0.25">
      <c r="A691" t="s">
        <v>2608</v>
      </c>
      <c r="B691" t="s">
        <v>2609</v>
      </c>
      <c r="C691" t="s">
        <v>1527</v>
      </c>
      <c r="D691" t="s">
        <v>900</v>
      </c>
      <c r="E691" t="s">
        <v>838</v>
      </c>
      <c r="F691" t="s">
        <v>837</v>
      </c>
      <c r="G691" t="s">
        <v>1810</v>
      </c>
      <c r="H691" t="s">
        <v>1817</v>
      </c>
    </row>
    <row r="692" spans="1:8" x14ac:dyDescent="0.25">
      <c r="A692" t="s">
        <v>651</v>
      </c>
      <c r="B692" t="s">
        <v>1567</v>
      </c>
      <c r="C692" t="s">
        <v>1566</v>
      </c>
      <c r="D692" t="s">
        <v>1207</v>
      </c>
      <c r="E692" t="s">
        <v>1206</v>
      </c>
      <c r="F692" t="s">
        <v>862</v>
      </c>
      <c r="G692" t="s">
        <v>1806</v>
      </c>
      <c r="H692" t="s">
        <v>1817</v>
      </c>
    </row>
    <row r="693" spans="1:8" x14ac:dyDescent="0.25">
      <c r="A693" t="s">
        <v>652</v>
      </c>
      <c r="B693" t="s">
        <v>1570</v>
      </c>
      <c r="C693" t="s">
        <v>1569</v>
      </c>
      <c r="D693" t="s">
        <v>1568</v>
      </c>
      <c r="E693" t="s">
        <v>858</v>
      </c>
      <c r="F693" t="s">
        <v>857</v>
      </c>
      <c r="G693" t="s">
        <v>1806</v>
      </c>
      <c r="H693" t="s">
        <v>1817</v>
      </c>
    </row>
    <row r="694" spans="1:8" x14ac:dyDescent="0.25">
      <c r="A694" t="s">
        <v>653</v>
      </c>
      <c r="B694" t="s">
        <v>1570</v>
      </c>
      <c r="C694" t="s">
        <v>1569</v>
      </c>
      <c r="D694" t="s">
        <v>1568</v>
      </c>
      <c r="E694" t="s">
        <v>858</v>
      </c>
      <c r="F694" t="s">
        <v>857</v>
      </c>
      <c r="G694" t="s">
        <v>1806</v>
      </c>
      <c r="H694" t="s">
        <v>1817</v>
      </c>
    </row>
    <row r="695" spans="1:8" x14ac:dyDescent="0.25">
      <c r="A695" t="s">
        <v>654</v>
      </c>
      <c r="B695" t="s">
        <v>1570</v>
      </c>
      <c r="C695" t="s">
        <v>1569</v>
      </c>
      <c r="D695" t="s">
        <v>1568</v>
      </c>
      <c r="E695" t="s">
        <v>858</v>
      </c>
      <c r="F695" t="s">
        <v>857</v>
      </c>
      <c r="G695" t="s">
        <v>1806</v>
      </c>
      <c r="H695" t="s">
        <v>1817</v>
      </c>
    </row>
    <row r="696" spans="1:8" x14ac:dyDescent="0.25">
      <c r="A696" t="s">
        <v>655</v>
      </c>
      <c r="B696" t="s">
        <v>1572</v>
      </c>
      <c r="C696" t="s">
        <v>1571</v>
      </c>
      <c r="D696" t="s">
        <v>884</v>
      </c>
      <c r="E696" t="s">
        <v>867</v>
      </c>
      <c r="F696" t="s">
        <v>849</v>
      </c>
      <c r="G696" t="s">
        <v>1806</v>
      </c>
      <c r="H696" t="s">
        <v>1817</v>
      </c>
    </row>
    <row r="697" spans="1:8" x14ac:dyDescent="0.25">
      <c r="A697" t="s">
        <v>656</v>
      </c>
      <c r="B697" t="s">
        <v>1791</v>
      </c>
      <c r="C697" t="s">
        <v>1634</v>
      </c>
      <c r="D697" t="s">
        <v>838</v>
      </c>
      <c r="E697" t="s">
        <v>1239</v>
      </c>
      <c r="F697" t="s">
        <v>837</v>
      </c>
      <c r="G697" t="s">
        <v>1810</v>
      </c>
    </row>
    <row r="698" spans="1:8" x14ac:dyDescent="0.25">
      <c r="A698" t="s">
        <v>2610</v>
      </c>
      <c r="B698" t="s">
        <v>2611</v>
      </c>
      <c r="C698" t="s">
        <v>2612</v>
      </c>
      <c r="D698" t="s">
        <v>900</v>
      </c>
      <c r="E698" t="s">
        <v>838</v>
      </c>
      <c r="F698" t="s">
        <v>837</v>
      </c>
      <c r="G698" t="s">
        <v>1810</v>
      </c>
      <c r="H698" t="s">
        <v>1817</v>
      </c>
    </row>
    <row r="699" spans="1:8" x14ac:dyDescent="0.25">
      <c r="A699" t="s">
        <v>2613</v>
      </c>
      <c r="B699" t="s">
        <v>2614</v>
      </c>
      <c r="C699" t="s">
        <v>1037</v>
      </c>
      <c r="D699" t="s">
        <v>1036</v>
      </c>
      <c r="E699" t="s">
        <v>1035</v>
      </c>
      <c r="F699" t="s">
        <v>849</v>
      </c>
      <c r="G699" t="s">
        <v>1806</v>
      </c>
      <c r="H699" t="s">
        <v>1817</v>
      </c>
    </row>
    <row r="700" spans="1:8" x14ac:dyDescent="0.25">
      <c r="A700" t="s">
        <v>2615</v>
      </c>
      <c r="B700" t="s">
        <v>2616</v>
      </c>
      <c r="C700" t="s">
        <v>2617</v>
      </c>
      <c r="D700" t="s">
        <v>2618</v>
      </c>
      <c r="E700" t="s">
        <v>2619</v>
      </c>
      <c r="F700" t="s">
        <v>2524</v>
      </c>
      <c r="G700" t="s">
        <v>2290</v>
      </c>
      <c r="H700" t="s">
        <v>1817</v>
      </c>
    </row>
    <row r="701" spans="1:8" x14ac:dyDescent="0.25">
      <c r="A701" t="s">
        <v>2620</v>
      </c>
      <c r="B701" t="s">
        <v>1792</v>
      </c>
      <c r="C701" t="s">
        <v>1602</v>
      </c>
      <c r="D701" t="s">
        <v>1178</v>
      </c>
      <c r="E701" t="s">
        <v>919</v>
      </c>
      <c r="F701" t="s">
        <v>918</v>
      </c>
      <c r="G701" t="s">
        <v>1806</v>
      </c>
      <c r="H701" t="s">
        <v>1817</v>
      </c>
    </row>
    <row r="702" spans="1:8" x14ac:dyDescent="0.25">
      <c r="A702" t="s">
        <v>2621</v>
      </c>
      <c r="B702" t="s">
        <v>1792</v>
      </c>
      <c r="C702" t="s">
        <v>1602</v>
      </c>
      <c r="D702" t="s">
        <v>1178</v>
      </c>
      <c r="E702" t="s">
        <v>919</v>
      </c>
      <c r="F702" t="s">
        <v>918</v>
      </c>
      <c r="G702" t="s">
        <v>1806</v>
      </c>
      <c r="H702" t="s">
        <v>1817</v>
      </c>
    </row>
    <row r="703" spans="1:8" x14ac:dyDescent="0.25">
      <c r="A703" t="s">
        <v>657</v>
      </c>
      <c r="B703" t="s">
        <v>1792</v>
      </c>
      <c r="C703" t="s">
        <v>1857</v>
      </c>
      <c r="D703" t="s">
        <v>1858</v>
      </c>
      <c r="E703" t="s">
        <v>1412</v>
      </c>
      <c r="F703" t="s">
        <v>918</v>
      </c>
      <c r="G703" t="s">
        <v>1806</v>
      </c>
    </row>
    <row r="704" spans="1:8" x14ac:dyDescent="0.25">
      <c r="A704" t="s">
        <v>2622</v>
      </c>
      <c r="B704" t="s">
        <v>1792</v>
      </c>
      <c r="C704" t="s">
        <v>1602</v>
      </c>
      <c r="D704" t="s">
        <v>1178</v>
      </c>
      <c r="E704" t="s">
        <v>919</v>
      </c>
      <c r="F704" t="s">
        <v>918</v>
      </c>
      <c r="G704" t="s">
        <v>1806</v>
      </c>
      <c r="H704" t="s">
        <v>1817</v>
      </c>
    </row>
    <row r="705" spans="1:8" x14ac:dyDescent="0.25">
      <c r="A705" t="s">
        <v>2623</v>
      </c>
      <c r="B705" t="s">
        <v>1792</v>
      </c>
      <c r="C705" t="s">
        <v>1602</v>
      </c>
      <c r="D705" t="s">
        <v>1178</v>
      </c>
      <c r="E705" t="s">
        <v>919</v>
      </c>
      <c r="F705" t="s">
        <v>918</v>
      </c>
      <c r="G705" t="s">
        <v>1806</v>
      </c>
      <c r="H705" t="s">
        <v>1817</v>
      </c>
    </row>
    <row r="706" spans="1:8" x14ac:dyDescent="0.25">
      <c r="A706" t="s">
        <v>658</v>
      </c>
      <c r="B706" t="s">
        <v>1793</v>
      </c>
      <c r="C706" t="s">
        <v>936</v>
      </c>
      <c r="D706" t="s">
        <v>867</v>
      </c>
      <c r="E706" t="s">
        <v>884</v>
      </c>
      <c r="F706" t="s">
        <v>849</v>
      </c>
      <c r="G706" t="s">
        <v>1806</v>
      </c>
    </row>
    <row r="707" spans="1:8" x14ac:dyDescent="0.25">
      <c r="A707" t="s">
        <v>659</v>
      </c>
      <c r="B707" t="s">
        <v>1573</v>
      </c>
      <c r="C707" t="s">
        <v>1482</v>
      </c>
      <c r="D707" t="s">
        <v>1036</v>
      </c>
      <c r="E707" t="s">
        <v>1035</v>
      </c>
      <c r="F707" t="s">
        <v>849</v>
      </c>
      <c r="G707" t="s">
        <v>1806</v>
      </c>
      <c r="H707" t="s">
        <v>1817</v>
      </c>
    </row>
    <row r="708" spans="1:8" x14ac:dyDescent="0.25">
      <c r="A708" t="s">
        <v>660</v>
      </c>
      <c r="B708" t="s">
        <v>1573</v>
      </c>
      <c r="C708" t="s">
        <v>1482</v>
      </c>
      <c r="D708" t="s">
        <v>1036</v>
      </c>
      <c r="E708" t="s">
        <v>1035</v>
      </c>
      <c r="F708" t="s">
        <v>849</v>
      </c>
      <c r="G708" t="s">
        <v>1806</v>
      </c>
      <c r="H708" t="s">
        <v>1817</v>
      </c>
    </row>
    <row r="709" spans="1:8" x14ac:dyDescent="0.25">
      <c r="A709" t="s">
        <v>661</v>
      </c>
      <c r="B709" t="s">
        <v>1573</v>
      </c>
      <c r="C709" t="s">
        <v>1482</v>
      </c>
      <c r="D709" t="s">
        <v>1036</v>
      </c>
      <c r="E709" t="s">
        <v>1035</v>
      </c>
      <c r="F709" t="s">
        <v>849</v>
      </c>
      <c r="G709" t="s">
        <v>1806</v>
      </c>
      <c r="H709" t="s">
        <v>1817</v>
      </c>
    </row>
    <row r="710" spans="1:8" x14ac:dyDescent="0.25">
      <c r="A710" t="s">
        <v>662</v>
      </c>
      <c r="B710" t="s">
        <v>1574</v>
      </c>
      <c r="C710" t="s">
        <v>1451</v>
      </c>
      <c r="D710" t="s">
        <v>1045</v>
      </c>
      <c r="E710" t="s">
        <v>968</v>
      </c>
      <c r="F710" t="s">
        <v>862</v>
      </c>
      <c r="G710" t="s">
        <v>1806</v>
      </c>
      <c r="H710" t="s">
        <v>1817</v>
      </c>
    </row>
    <row r="711" spans="1:8" x14ac:dyDescent="0.25">
      <c r="A711" t="s">
        <v>2624</v>
      </c>
      <c r="B711" t="s">
        <v>1794</v>
      </c>
      <c r="C711" t="s">
        <v>843</v>
      </c>
      <c r="D711" t="s">
        <v>842</v>
      </c>
      <c r="E711" t="s">
        <v>838</v>
      </c>
      <c r="F711" t="s">
        <v>837</v>
      </c>
      <c r="G711" t="s">
        <v>1810</v>
      </c>
      <c r="H711" t="s">
        <v>1817</v>
      </c>
    </row>
    <row r="712" spans="1:8" x14ac:dyDescent="0.25">
      <c r="A712" t="s">
        <v>663</v>
      </c>
      <c r="B712" t="s">
        <v>1794</v>
      </c>
      <c r="C712" t="s">
        <v>843</v>
      </c>
      <c r="D712" t="s">
        <v>838</v>
      </c>
      <c r="E712" t="s">
        <v>842</v>
      </c>
      <c r="F712" t="s">
        <v>837</v>
      </c>
      <c r="G712" t="s">
        <v>1810</v>
      </c>
    </row>
    <row r="713" spans="1:8" x14ac:dyDescent="0.25">
      <c r="A713" t="s">
        <v>664</v>
      </c>
      <c r="B713" t="s">
        <v>1576</v>
      </c>
      <c r="C713" t="s">
        <v>1575</v>
      </c>
      <c r="D713" t="s">
        <v>884</v>
      </c>
      <c r="E713" t="s">
        <v>867</v>
      </c>
      <c r="F713" t="s">
        <v>849</v>
      </c>
      <c r="G713" t="s">
        <v>1806</v>
      </c>
      <c r="H713" t="s">
        <v>1817</v>
      </c>
    </row>
    <row r="714" spans="1:8" x14ac:dyDescent="0.25">
      <c r="A714" t="s">
        <v>2625</v>
      </c>
      <c r="B714" t="s">
        <v>2626</v>
      </c>
      <c r="C714" t="s">
        <v>2627</v>
      </c>
      <c r="D714" t="s">
        <v>924</v>
      </c>
      <c r="E714" t="s">
        <v>923</v>
      </c>
      <c r="F714" t="s">
        <v>862</v>
      </c>
      <c r="G714" t="s">
        <v>1806</v>
      </c>
      <c r="H714" t="s">
        <v>1817</v>
      </c>
    </row>
    <row r="715" spans="1:8" x14ac:dyDescent="0.25">
      <c r="A715" t="s">
        <v>665</v>
      </c>
      <c r="B715" t="s">
        <v>1578</v>
      </c>
      <c r="C715" t="s">
        <v>1577</v>
      </c>
      <c r="D715" t="s">
        <v>963</v>
      </c>
      <c r="E715" t="s">
        <v>838</v>
      </c>
      <c r="F715" t="s">
        <v>837</v>
      </c>
      <c r="G715" t="s">
        <v>1810</v>
      </c>
      <c r="H715" t="s">
        <v>1817</v>
      </c>
    </row>
    <row r="716" spans="1:8" x14ac:dyDescent="0.25">
      <c r="A716" t="s">
        <v>1096</v>
      </c>
      <c r="B716" t="s">
        <v>1095</v>
      </c>
      <c r="C716" t="s">
        <v>1094</v>
      </c>
      <c r="D716" t="s">
        <v>1093</v>
      </c>
      <c r="E716" t="s">
        <v>1092</v>
      </c>
      <c r="F716" t="s">
        <v>1091</v>
      </c>
      <c r="G716" t="s">
        <v>1808</v>
      </c>
      <c r="H716" t="s">
        <v>1820</v>
      </c>
    </row>
    <row r="717" spans="1:8" x14ac:dyDescent="0.25">
      <c r="A717" t="s">
        <v>666</v>
      </c>
      <c r="B717" t="s">
        <v>1579</v>
      </c>
      <c r="C717" t="s">
        <v>1164</v>
      </c>
      <c r="D717" t="s">
        <v>868</v>
      </c>
      <c r="E717" t="s">
        <v>867</v>
      </c>
      <c r="F717" t="s">
        <v>849</v>
      </c>
      <c r="G717" t="s">
        <v>1806</v>
      </c>
      <c r="H717" t="s">
        <v>1817</v>
      </c>
    </row>
    <row r="718" spans="1:8" x14ac:dyDescent="0.25">
      <c r="A718" t="s">
        <v>667</v>
      </c>
      <c r="B718" t="s">
        <v>1580</v>
      </c>
      <c r="C718" t="s">
        <v>1089</v>
      </c>
      <c r="D718" t="s">
        <v>1080</v>
      </c>
      <c r="E718" t="s">
        <v>923</v>
      </c>
      <c r="F718" t="s">
        <v>862</v>
      </c>
      <c r="G718" t="s">
        <v>1806</v>
      </c>
      <c r="H718" t="s">
        <v>1817</v>
      </c>
    </row>
    <row r="719" spans="1:8" x14ac:dyDescent="0.25">
      <c r="A719" t="s">
        <v>668</v>
      </c>
      <c r="B719" t="s">
        <v>1580</v>
      </c>
      <c r="C719" t="s">
        <v>1089</v>
      </c>
      <c r="D719" t="s">
        <v>1080</v>
      </c>
      <c r="E719" t="s">
        <v>923</v>
      </c>
      <c r="F719" t="s">
        <v>862</v>
      </c>
      <c r="G719" t="s">
        <v>1806</v>
      </c>
      <c r="H719" t="s">
        <v>1817</v>
      </c>
    </row>
    <row r="720" spans="1:8" x14ac:dyDescent="0.25">
      <c r="A720" t="s">
        <v>2776</v>
      </c>
      <c r="B720" t="s">
        <v>2777</v>
      </c>
      <c r="C720" t="s">
        <v>2437</v>
      </c>
      <c r="D720" t="s">
        <v>2438</v>
      </c>
      <c r="E720" t="s">
        <v>1669</v>
      </c>
      <c r="F720" t="s">
        <v>1065</v>
      </c>
      <c r="G720" t="s">
        <v>1809</v>
      </c>
      <c r="H720" t="s">
        <v>1820</v>
      </c>
    </row>
    <row r="721" spans="1:8" x14ac:dyDescent="0.25">
      <c r="A721" t="s">
        <v>2628</v>
      </c>
      <c r="B721" t="s">
        <v>2629</v>
      </c>
      <c r="C721" t="s">
        <v>2630</v>
      </c>
      <c r="D721" t="s">
        <v>2631</v>
      </c>
      <c r="E721" t="s">
        <v>2632</v>
      </c>
      <c r="F721" t="s">
        <v>1167</v>
      </c>
      <c r="G721" t="s">
        <v>1808</v>
      </c>
      <c r="H721" t="s">
        <v>1817</v>
      </c>
    </row>
    <row r="722" spans="1:8" x14ac:dyDescent="0.25">
      <c r="A722" t="s">
        <v>669</v>
      </c>
      <c r="B722" t="s">
        <v>1581</v>
      </c>
      <c r="C722" t="s">
        <v>891</v>
      </c>
      <c r="D722" t="s">
        <v>890</v>
      </c>
      <c r="E722" t="s">
        <v>889</v>
      </c>
      <c r="F722" t="s">
        <v>862</v>
      </c>
      <c r="G722" t="s">
        <v>1806</v>
      </c>
      <c r="H722" t="s">
        <v>1817</v>
      </c>
    </row>
    <row r="723" spans="1:8" x14ac:dyDescent="0.25">
      <c r="A723" t="s">
        <v>670</v>
      </c>
      <c r="B723" t="s">
        <v>1583</v>
      </c>
      <c r="C723" t="s">
        <v>1582</v>
      </c>
      <c r="D723" t="s">
        <v>1036</v>
      </c>
      <c r="E723" t="s">
        <v>1035</v>
      </c>
      <c r="F723" t="s">
        <v>849</v>
      </c>
      <c r="G723" t="s">
        <v>1806</v>
      </c>
      <c r="H723" t="s">
        <v>1817</v>
      </c>
    </row>
    <row r="724" spans="1:8" x14ac:dyDescent="0.25">
      <c r="A724" t="s">
        <v>671</v>
      </c>
      <c r="B724" t="s">
        <v>1584</v>
      </c>
      <c r="C724" t="s">
        <v>1554</v>
      </c>
      <c r="D724" t="s">
        <v>1143</v>
      </c>
      <c r="E724" t="s">
        <v>1142</v>
      </c>
      <c r="F724" t="s">
        <v>837</v>
      </c>
      <c r="G724" t="s">
        <v>1810</v>
      </c>
      <c r="H724" t="s">
        <v>1817</v>
      </c>
    </row>
    <row r="725" spans="1:8" x14ac:dyDescent="0.25">
      <c r="A725" t="s">
        <v>2633</v>
      </c>
      <c r="B725" t="s">
        <v>2634</v>
      </c>
      <c r="C725" t="s">
        <v>1236</v>
      </c>
      <c r="D725" t="s">
        <v>1107</v>
      </c>
      <c r="E725" t="s">
        <v>838</v>
      </c>
      <c r="F725" t="s">
        <v>837</v>
      </c>
      <c r="G725" t="s">
        <v>1810</v>
      </c>
      <c r="H725" t="s">
        <v>1817</v>
      </c>
    </row>
    <row r="726" spans="1:8" x14ac:dyDescent="0.25">
      <c r="A726" t="s">
        <v>672</v>
      </c>
      <c r="B726" t="s">
        <v>1585</v>
      </c>
      <c r="C726" t="s">
        <v>1441</v>
      </c>
      <c r="D726" t="s">
        <v>1440</v>
      </c>
      <c r="E726" t="s">
        <v>863</v>
      </c>
      <c r="F726" t="s">
        <v>862</v>
      </c>
      <c r="G726" t="s">
        <v>1806</v>
      </c>
      <c r="H726" t="s">
        <v>1817</v>
      </c>
    </row>
    <row r="727" spans="1:8" x14ac:dyDescent="0.25">
      <c r="A727" t="s">
        <v>673</v>
      </c>
      <c r="B727" t="s">
        <v>1588</v>
      </c>
      <c r="C727" t="s">
        <v>1587</v>
      </c>
      <c r="D727" t="s">
        <v>1586</v>
      </c>
      <c r="E727" t="s">
        <v>983</v>
      </c>
      <c r="F727" t="s">
        <v>837</v>
      </c>
      <c r="G727" t="s">
        <v>1810</v>
      </c>
      <c r="H727" t="s">
        <v>1817</v>
      </c>
    </row>
    <row r="728" spans="1:8" x14ac:dyDescent="0.25">
      <c r="A728" t="s">
        <v>674</v>
      </c>
      <c r="B728" t="s">
        <v>1591</v>
      </c>
      <c r="C728" t="s">
        <v>1590</v>
      </c>
      <c r="D728" t="s">
        <v>1589</v>
      </c>
      <c r="E728" t="s">
        <v>889</v>
      </c>
      <c r="F728" t="s">
        <v>862</v>
      </c>
      <c r="G728" t="s">
        <v>1806</v>
      </c>
      <c r="H728" t="s">
        <v>1817</v>
      </c>
    </row>
    <row r="729" spans="1:8" x14ac:dyDescent="0.25">
      <c r="A729" t="s">
        <v>2635</v>
      </c>
      <c r="B729" t="s">
        <v>1795</v>
      </c>
      <c r="C729" t="s">
        <v>1859</v>
      </c>
      <c r="D729" t="s">
        <v>910</v>
      </c>
      <c r="E729" t="s">
        <v>889</v>
      </c>
      <c r="F729" t="s">
        <v>862</v>
      </c>
      <c r="G729" t="s">
        <v>1806</v>
      </c>
      <c r="H729" t="s">
        <v>1817</v>
      </c>
    </row>
    <row r="730" spans="1:8" x14ac:dyDescent="0.25">
      <c r="A730" t="s">
        <v>675</v>
      </c>
      <c r="B730" t="s">
        <v>1795</v>
      </c>
      <c r="C730" t="s">
        <v>1859</v>
      </c>
      <c r="D730" t="s">
        <v>1860</v>
      </c>
      <c r="E730" t="s">
        <v>910</v>
      </c>
      <c r="F730" t="s">
        <v>862</v>
      </c>
      <c r="G730" t="s">
        <v>1806</v>
      </c>
    </row>
    <row r="731" spans="1:8" x14ac:dyDescent="0.25">
      <c r="A731" t="s">
        <v>2636</v>
      </c>
      <c r="B731" t="s">
        <v>1593</v>
      </c>
      <c r="C731" t="s">
        <v>1592</v>
      </c>
      <c r="D731" t="s">
        <v>980</v>
      </c>
      <c r="E731" t="s">
        <v>979</v>
      </c>
      <c r="F731" t="s">
        <v>978</v>
      </c>
      <c r="G731" t="s">
        <v>1809</v>
      </c>
      <c r="H731" t="s">
        <v>1817</v>
      </c>
    </row>
    <row r="732" spans="1:8" x14ac:dyDescent="0.25">
      <c r="A732" t="s">
        <v>676</v>
      </c>
      <c r="B732" t="s">
        <v>1593</v>
      </c>
      <c r="C732" t="s">
        <v>1592</v>
      </c>
      <c r="D732" t="s">
        <v>980</v>
      </c>
      <c r="E732" t="s">
        <v>979</v>
      </c>
      <c r="F732" t="s">
        <v>978</v>
      </c>
      <c r="G732" t="s">
        <v>1809</v>
      </c>
      <c r="H732" t="s">
        <v>1817</v>
      </c>
    </row>
    <row r="733" spans="1:8" x14ac:dyDescent="0.25">
      <c r="A733" t="s">
        <v>677</v>
      </c>
      <c r="B733" t="s">
        <v>1593</v>
      </c>
      <c r="C733" t="s">
        <v>1592</v>
      </c>
      <c r="D733" t="s">
        <v>980</v>
      </c>
      <c r="E733" t="s">
        <v>979</v>
      </c>
      <c r="F733" t="s">
        <v>978</v>
      </c>
      <c r="G733" t="s">
        <v>1809</v>
      </c>
      <c r="H733" t="s">
        <v>1817</v>
      </c>
    </row>
    <row r="734" spans="1:8" x14ac:dyDescent="0.25">
      <c r="A734" t="s">
        <v>2637</v>
      </c>
      <c r="B734" t="s">
        <v>1593</v>
      </c>
      <c r="C734" t="s">
        <v>1592</v>
      </c>
      <c r="D734" t="s">
        <v>980</v>
      </c>
      <c r="E734" t="s">
        <v>979</v>
      </c>
      <c r="F734" t="s">
        <v>978</v>
      </c>
      <c r="G734" t="s">
        <v>1809</v>
      </c>
      <c r="H734" t="s">
        <v>1817</v>
      </c>
    </row>
    <row r="735" spans="1:8" x14ac:dyDescent="0.25">
      <c r="A735" t="s">
        <v>678</v>
      </c>
      <c r="B735" t="s">
        <v>1594</v>
      </c>
      <c r="C735" t="s">
        <v>843</v>
      </c>
      <c r="D735" t="s">
        <v>842</v>
      </c>
      <c r="E735" t="s">
        <v>838</v>
      </c>
      <c r="F735" t="s">
        <v>837</v>
      </c>
      <c r="G735" t="s">
        <v>1810</v>
      </c>
      <c r="H735" t="s">
        <v>1817</v>
      </c>
    </row>
    <row r="736" spans="1:8" x14ac:dyDescent="0.25">
      <c r="A736" t="s">
        <v>1595</v>
      </c>
      <c r="B736" t="s">
        <v>1594</v>
      </c>
      <c r="C736" t="s">
        <v>843</v>
      </c>
      <c r="D736" t="s">
        <v>842</v>
      </c>
      <c r="E736" t="s">
        <v>838</v>
      </c>
      <c r="F736" t="s">
        <v>837</v>
      </c>
      <c r="G736" t="s">
        <v>1810</v>
      </c>
      <c r="H736" t="s">
        <v>1817</v>
      </c>
    </row>
    <row r="737" spans="1:8" x14ac:dyDescent="0.25">
      <c r="A737" t="s">
        <v>679</v>
      </c>
      <c r="B737" t="s">
        <v>1594</v>
      </c>
      <c r="C737" t="s">
        <v>843</v>
      </c>
      <c r="D737" t="s">
        <v>842</v>
      </c>
      <c r="E737" t="s">
        <v>838</v>
      </c>
      <c r="F737" t="s">
        <v>837</v>
      </c>
      <c r="G737" t="s">
        <v>1810</v>
      </c>
      <c r="H737" t="s">
        <v>1817</v>
      </c>
    </row>
    <row r="738" spans="1:8" x14ac:dyDescent="0.25">
      <c r="A738" t="s">
        <v>680</v>
      </c>
      <c r="B738" t="s">
        <v>1597</v>
      </c>
      <c r="C738" t="s">
        <v>1596</v>
      </c>
      <c r="D738" t="s">
        <v>864</v>
      </c>
      <c r="E738" t="s">
        <v>863</v>
      </c>
      <c r="F738" t="s">
        <v>862</v>
      </c>
      <c r="G738" t="s">
        <v>1806</v>
      </c>
      <c r="H738" t="s">
        <v>1817</v>
      </c>
    </row>
    <row r="739" spans="1:8" x14ac:dyDescent="0.25">
      <c r="A739" t="s">
        <v>681</v>
      </c>
      <c r="B739" t="s">
        <v>1597</v>
      </c>
      <c r="C739" t="s">
        <v>1596</v>
      </c>
      <c r="D739" t="s">
        <v>864</v>
      </c>
      <c r="E739" t="s">
        <v>863</v>
      </c>
      <c r="F739" t="s">
        <v>862</v>
      </c>
      <c r="G739" t="s">
        <v>1806</v>
      </c>
      <c r="H739" t="s">
        <v>1817</v>
      </c>
    </row>
    <row r="740" spans="1:8" x14ac:dyDescent="0.25">
      <c r="A740" t="s">
        <v>682</v>
      </c>
      <c r="B740" t="s">
        <v>1597</v>
      </c>
      <c r="C740" t="s">
        <v>1596</v>
      </c>
      <c r="D740" t="s">
        <v>864</v>
      </c>
      <c r="E740" t="s">
        <v>863</v>
      </c>
      <c r="F740" t="s">
        <v>862</v>
      </c>
      <c r="G740" t="s">
        <v>1806</v>
      </c>
      <c r="H740" t="s">
        <v>1817</v>
      </c>
    </row>
    <row r="741" spans="1:8" x14ac:dyDescent="0.25">
      <c r="A741" t="s">
        <v>2638</v>
      </c>
      <c r="B741" t="s">
        <v>2639</v>
      </c>
      <c r="C741" t="s">
        <v>2305</v>
      </c>
      <c r="D741" t="s">
        <v>1670</v>
      </c>
      <c r="E741" t="s">
        <v>1669</v>
      </c>
      <c r="F741" t="s">
        <v>1065</v>
      </c>
      <c r="G741" t="s">
        <v>1809</v>
      </c>
      <c r="H741" t="s">
        <v>1817</v>
      </c>
    </row>
    <row r="742" spans="1:8" x14ac:dyDescent="0.25">
      <c r="A742" t="s">
        <v>683</v>
      </c>
      <c r="B742" t="s">
        <v>1599</v>
      </c>
      <c r="C742" t="s">
        <v>1598</v>
      </c>
      <c r="D742" t="s">
        <v>924</v>
      </c>
      <c r="E742" t="s">
        <v>923</v>
      </c>
      <c r="F742" t="s">
        <v>862</v>
      </c>
      <c r="G742" t="s">
        <v>1806</v>
      </c>
      <c r="H742" t="s">
        <v>1817</v>
      </c>
    </row>
    <row r="743" spans="1:8" x14ac:dyDescent="0.25">
      <c r="A743" t="s">
        <v>684</v>
      </c>
      <c r="B743" t="s">
        <v>1601</v>
      </c>
      <c r="C743" t="s">
        <v>1600</v>
      </c>
      <c r="D743" t="s">
        <v>1054</v>
      </c>
      <c r="E743" t="s">
        <v>838</v>
      </c>
      <c r="F743" t="s">
        <v>837</v>
      </c>
      <c r="G743" t="s">
        <v>1810</v>
      </c>
      <c r="H743" t="s">
        <v>1817</v>
      </c>
    </row>
    <row r="744" spans="1:8" x14ac:dyDescent="0.25">
      <c r="A744" t="s">
        <v>2640</v>
      </c>
      <c r="B744" t="s">
        <v>1603</v>
      </c>
      <c r="C744" t="s">
        <v>1602</v>
      </c>
      <c r="D744" t="s">
        <v>1178</v>
      </c>
      <c r="E744" t="s">
        <v>919</v>
      </c>
      <c r="F744" t="s">
        <v>918</v>
      </c>
      <c r="G744" t="s">
        <v>1806</v>
      </c>
      <c r="H744" t="s">
        <v>1817</v>
      </c>
    </row>
    <row r="745" spans="1:8" x14ac:dyDescent="0.25">
      <c r="A745" t="s">
        <v>685</v>
      </c>
      <c r="B745" t="s">
        <v>1603</v>
      </c>
      <c r="C745" t="s">
        <v>1602</v>
      </c>
      <c r="D745" t="s">
        <v>1178</v>
      </c>
      <c r="E745" t="s">
        <v>919</v>
      </c>
      <c r="F745" t="s">
        <v>918</v>
      </c>
      <c r="G745" t="s">
        <v>1806</v>
      </c>
      <c r="H745" t="s">
        <v>1817</v>
      </c>
    </row>
    <row r="746" spans="1:8" x14ac:dyDescent="0.25">
      <c r="A746" t="s">
        <v>2641</v>
      </c>
      <c r="B746" t="s">
        <v>1603</v>
      </c>
      <c r="C746" t="s">
        <v>1602</v>
      </c>
      <c r="D746" t="s">
        <v>1178</v>
      </c>
      <c r="E746" t="s">
        <v>919</v>
      </c>
      <c r="F746" t="s">
        <v>918</v>
      </c>
      <c r="G746" t="s">
        <v>1806</v>
      </c>
      <c r="H746" t="s">
        <v>1817</v>
      </c>
    </row>
    <row r="747" spans="1:8" x14ac:dyDescent="0.25">
      <c r="A747" t="s">
        <v>686</v>
      </c>
      <c r="B747" t="s">
        <v>1607</v>
      </c>
      <c r="C747" t="s">
        <v>1606</v>
      </c>
      <c r="D747" t="s">
        <v>1605</v>
      </c>
      <c r="E747" t="s">
        <v>1604</v>
      </c>
      <c r="F747" t="s">
        <v>874</v>
      </c>
      <c r="G747" t="s">
        <v>1807</v>
      </c>
      <c r="H747" t="s">
        <v>1817</v>
      </c>
    </row>
    <row r="748" spans="1:8" x14ac:dyDescent="0.25">
      <c r="A748" t="s">
        <v>687</v>
      </c>
      <c r="B748" t="s">
        <v>1608</v>
      </c>
      <c r="C748" t="s">
        <v>1072</v>
      </c>
      <c r="D748" t="s">
        <v>1002</v>
      </c>
      <c r="E748" t="s">
        <v>968</v>
      </c>
      <c r="F748" t="s">
        <v>862</v>
      </c>
      <c r="G748" t="s">
        <v>1806</v>
      </c>
      <c r="H748" t="s">
        <v>1817</v>
      </c>
    </row>
    <row r="749" spans="1:8" x14ac:dyDescent="0.25">
      <c r="A749" t="s">
        <v>688</v>
      </c>
      <c r="B749" t="s">
        <v>1611</v>
      </c>
      <c r="C749" t="s">
        <v>1610</v>
      </c>
      <c r="D749" t="s">
        <v>1609</v>
      </c>
      <c r="E749" t="s">
        <v>838</v>
      </c>
      <c r="F749" t="s">
        <v>837</v>
      </c>
      <c r="G749" t="s">
        <v>1810</v>
      </c>
      <c r="H749" t="s">
        <v>1817</v>
      </c>
    </row>
    <row r="750" spans="1:8" x14ac:dyDescent="0.25">
      <c r="A750" t="s">
        <v>689</v>
      </c>
      <c r="B750" t="s">
        <v>1613</v>
      </c>
      <c r="C750" t="s">
        <v>1612</v>
      </c>
      <c r="D750" t="s">
        <v>851</v>
      </c>
      <c r="E750" t="s">
        <v>850</v>
      </c>
      <c r="F750" t="s">
        <v>849</v>
      </c>
      <c r="G750" t="s">
        <v>1806</v>
      </c>
      <c r="H750" t="s">
        <v>1817</v>
      </c>
    </row>
    <row r="751" spans="1:8" x14ac:dyDescent="0.25">
      <c r="A751" t="s">
        <v>2642</v>
      </c>
      <c r="B751" t="s">
        <v>2643</v>
      </c>
      <c r="C751" t="s">
        <v>1854</v>
      </c>
      <c r="D751" t="s">
        <v>1855</v>
      </c>
      <c r="E751" t="s">
        <v>838</v>
      </c>
      <c r="F751" t="s">
        <v>837</v>
      </c>
      <c r="G751" t="s">
        <v>1810</v>
      </c>
      <c r="H751" t="s">
        <v>1817</v>
      </c>
    </row>
    <row r="752" spans="1:8" x14ac:dyDescent="0.25">
      <c r="A752" t="s">
        <v>690</v>
      </c>
      <c r="B752" t="s">
        <v>1614</v>
      </c>
      <c r="C752" t="s">
        <v>1394</v>
      </c>
      <c r="D752" t="s">
        <v>868</v>
      </c>
      <c r="E752" t="s">
        <v>867</v>
      </c>
      <c r="F752" t="s">
        <v>849</v>
      </c>
      <c r="G752" t="s">
        <v>1806</v>
      </c>
      <c r="H752" t="s">
        <v>1817</v>
      </c>
    </row>
    <row r="753" spans="1:8" x14ac:dyDescent="0.25">
      <c r="A753" t="s">
        <v>691</v>
      </c>
      <c r="B753" t="s">
        <v>1615</v>
      </c>
      <c r="C753" t="s">
        <v>1436</v>
      </c>
      <c r="D753" t="s">
        <v>972</v>
      </c>
      <c r="E753" t="s">
        <v>968</v>
      </c>
      <c r="F753" t="s">
        <v>862</v>
      </c>
      <c r="G753" t="s">
        <v>1806</v>
      </c>
      <c r="H753" t="s">
        <v>1817</v>
      </c>
    </row>
    <row r="754" spans="1:8" x14ac:dyDescent="0.25">
      <c r="A754" t="s">
        <v>692</v>
      </c>
      <c r="B754" t="s">
        <v>1615</v>
      </c>
      <c r="C754" t="s">
        <v>1436</v>
      </c>
      <c r="D754" t="s">
        <v>972</v>
      </c>
      <c r="E754" t="s">
        <v>968</v>
      </c>
      <c r="F754" t="s">
        <v>862</v>
      </c>
      <c r="G754" t="s">
        <v>1806</v>
      </c>
      <c r="H754" t="s">
        <v>1817</v>
      </c>
    </row>
    <row r="755" spans="1:8" x14ac:dyDescent="0.25">
      <c r="A755" t="s">
        <v>693</v>
      </c>
      <c r="B755" t="s">
        <v>1615</v>
      </c>
      <c r="C755" t="s">
        <v>1436</v>
      </c>
      <c r="D755" t="s">
        <v>972</v>
      </c>
      <c r="E755" t="s">
        <v>968</v>
      </c>
      <c r="F755" t="s">
        <v>862</v>
      </c>
      <c r="G755" t="s">
        <v>1806</v>
      </c>
      <c r="H755" t="s">
        <v>1817</v>
      </c>
    </row>
    <row r="756" spans="1:8" x14ac:dyDescent="0.25">
      <c r="A756" t="s">
        <v>694</v>
      </c>
      <c r="B756" t="s">
        <v>1615</v>
      </c>
      <c r="C756" t="s">
        <v>1436</v>
      </c>
      <c r="D756" t="s">
        <v>972</v>
      </c>
      <c r="E756" t="s">
        <v>968</v>
      </c>
      <c r="F756" t="s">
        <v>862</v>
      </c>
      <c r="G756" t="s">
        <v>1806</v>
      </c>
      <c r="H756" t="s">
        <v>1817</v>
      </c>
    </row>
    <row r="757" spans="1:8" x14ac:dyDescent="0.25">
      <c r="A757" t="s">
        <v>2644</v>
      </c>
      <c r="B757" t="s">
        <v>2645</v>
      </c>
      <c r="C757" t="s">
        <v>2646</v>
      </c>
      <c r="D757" t="s">
        <v>1855</v>
      </c>
      <c r="E757" t="s">
        <v>838</v>
      </c>
      <c r="F757" t="s">
        <v>837</v>
      </c>
      <c r="G757" t="s">
        <v>1810</v>
      </c>
      <c r="H757" t="s">
        <v>1817</v>
      </c>
    </row>
    <row r="758" spans="1:8" x14ac:dyDescent="0.25">
      <c r="A758" t="s">
        <v>2647</v>
      </c>
      <c r="B758" t="s">
        <v>2648</v>
      </c>
      <c r="C758" t="s">
        <v>1122</v>
      </c>
      <c r="D758" t="s">
        <v>1121</v>
      </c>
      <c r="E758" t="s">
        <v>867</v>
      </c>
      <c r="F758" t="s">
        <v>849</v>
      </c>
      <c r="G758" t="s">
        <v>1806</v>
      </c>
      <c r="H758" t="s">
        <v>1817</v>
      </c>
    </row>
    <row r="759" spans="1:8" x14ac:dyDescent="0.25">
      <c r="A759" t="s">
        <v>2649</v>
      </c>
      <c r="B759" t="s">
        <v>1616</v>
      </c>
      <c r="C759" t="s">
        <v>1527</v>
      </c>
      <c r="D759" t="s">
        <v>900</v>
      </c>
      <c r="E759" t="s">
        <v>838</v>
      </c>
      <c r="F759" t="s">
        <v>837</v>
      </c>
      <c r="G759" t="s">
        <v>1810</v>
      </c>
      <c r="H759" t="s">
        <v>1817</v>
      </c>
    </row>
    <row r="760" spans="1:8" x14ac:dyDescent="0.25">
      <c r="A760" t="s">
        <v>695</v>
      </c>
      <c r="B760" t="s">
        <v>1616</v>
      </c>
      <c r="C760" t="s">
        <v>1527</v>
      </c>
      <c r="D760" t="s">
        <v>900</v>
      </c>
      <c r="E760" t="s">
        <v>838</v>
      </c>
      <c r="F760" t="s">
        <v>837</v>
      </c>
      <c r="G760" t="s">
        <v>1810</v>
      </c>
      <c r="H760" t="s">
        <v>1817</v>
      </c>
    </row>
    <row r="761" spans="1:8" x14ac:dyDescent="0.25">
      <c r="A761" t="s">
        <v>2650</v>
      </c>
      <c r="B761" t="s">
        <v>1616</v>
      </c>
      <c r="C761" t="s">
        <v>1527</v>
      </c>
      <c r="D761" t="s">
        <v>900</v>
      </c>
      <c r="E761" t="s">
        <v>838</v>
      </c>
      <c r="F761" t="s">
        <v>837</v>
      </c>
      <c r="G761" t="s">
        <v>1810</v>
      </c>
      <c r="H761" t="s">
        <v>1817</v>
      </c>
    </row>
    <row r="762" spans="1:8" x14ac:dyDescent="0.25">
      <c r="A762" t="s">
        <v>696</v>
      </c>
      <c r="B762" t="s">
        <v>1617</v>
      </c>
      <c r="C762" t="s">
        <v>913</v>
      </c>
      <c r="D762" t="s">
        <v>871</v>
      </c>
      <c r="E762" t="s">
        <v>867</v>
      </c>
      <c r="F762" t="s">
        <v>849</v>
      </c>
      <c r="G762" t="s">
        <v>1806</v>
      </c>
      <c r="H762" t="s">
        <v>1817</v>
      </c>
    </row>
    <row r="763" spans="1:8" x14ac:dyDescent="0.25">
      <c r="A763" t="s">
        <v>697</v>
      </c>
      <c r="B763" t="s">
        <v>1617</v>
      </c>
      <c r="C763" t="s">
        <v>913</v>
      </c>
      <c r="D763" t="s">
        <v>871</v>
      </c>
      <c r="E763" t="s">
        <v>867</v>
      </c>
      <c r="F763" t="s">
        <v>849</v>
      </c>
      <c r="G763" t="s">
        <v>1806</v>
      </c>
      <c r="H763" t="s">
        <v>1817</v>
      </c>
    </row>
    <row r="764" spans="1:8" x14ac:dyDescent="0.25">
      <c r="A764" t="s">
        <v>698</v>
      </c>
      <c r="B764" t="s">
        <v>1617</v>
      </c>
      <c r="C764" t="s">
        <v>913</v>
      </c>
      <c r="D764" t="s">
        <v>871</v>
      </c>
      <c r="E764" t="s">
        <v>867</v>
      </c>
      <c r="F764" t="s">
        <v>849</v>
      </c>
      <c r="G764" t="s">
        <v>1806</v>
      </c>
      <c r="H764" t="s">
        <v>1817</v>
      </c>
    </row>
    <row r="765" spans="1:8" x14ac:dyDescent="0.25">
      <c r="A765" t="s">
        <v>2651</v>
      </c>
      <c r="B765" t="s">
        <v>2652</v>
      </c>
      <c r="C765" t="s">
        <v>1114</v>
      </c>
      <c r="D765" t="s">
        <v>963</v>
      </c>
      <c r="E765" t="s">
        <v>838</v>
      </c>
      <c r="F765" t="s">
        <v>837</v>
      </c>
      <c r="G765" t="s">
        <v>1810</v>
      </c>
      <c r="H765" t="s">
        <v>1817</v>
      </c>
    </row>
    <row r="766" spans="1:8" x14ac:dyDescent="0.25">
      <c r="A766" t="s">
        <v>2653</v>
      </c>
      <c r="B766" t="s">
        <v>2654</v>
      </c>
      <c r="C766" t="s">
        <v>908</v>
      </c>
      <c r="D766" t="s">
        <v>907</v>
      </c>
      <c r="E766" t="s">
        <v>838</v>
      </c>
      <c r="F766" t="s">
        <v>837</v>
      </c>
      <c r="G766" t="s">
        <v>1810</v>
      </c>
      <c r="H766" t="s">
        <v>1817</v>
      </c>
    </row>
    <row r="767" spans="1:8" x14ac:dyDescent="0.25">
      <c r="A767" t="s">
        <v>699</v>
      </c>
      <c r="B767" t="s">
        <v>1619</v>
      </c>
      <c r="C767" t="s">
        <v>1618</v>
      </c>
      <c r="D767" t="s">
        <v>1207</v>
      </c>
      <c r="E767" t="s">
        <v>1206</v>
      </c>
      <c r="F767" t="s">
        <v>862</v>
      </c>
      <c r="G767" t="s">
        <v>1806</v>
      </c>
      <c r="H767" t="s">
        <v>1817</v>
      </c>
    </row>
    <row r="768" spans="1:8" x14ac:dyDescent="0.25">
      <c r="A768" t="s">
        <v>700</v>
      </c>
      <c r="B768" t="s">
        <v>1622</v>
      </c>
      <c r="C768" t="s">
        <v>1621</v>
      </c>
      <c r="D768" t="s">
        <v>1620</v>
      </c>
      <c r="E768" t="s">
        <v>850</v>
      </c>
      <c r="F768" t="s">
        <v>849</v>
      </c>
      <c r="G768" t="s">
        <v>1806</v>
      </c>
      <c r="H768" t="s">
        <v>1819</v>
      </c>
    </row>
    <row r="769" spans="1:8" x14ac:dyDescent="0.25">
      <c r="A769" t="s">
        <v>2655</v>
      </c>
      <c r="B769" t="s">
        <v>2656</v>
      </c>
      <c r="C769" t="s">
        <v>2657</v>
      </c>
      <c r="D769" t="s">
        <v>2658</v>
      </c>
      <c r="E769" t="s">
        <v>1316</v>
      </c>
      <c r="F769" t="s">
        <v>978</v>
      </c>
      <c r="G769" t="s">
        <v>1809</v>
      </c>
      <c r="H769" t="s">
        <v>1817</v>
      </c>
    </row>
    <row r="770" spans="1:8" x14ac:dyDescent="0.25">
      <c r="A770" t="s">
        <v>701</v>
      </c>
      <c r="B770" t="s">
        <v>1624</v>
      </c>
      <c r="C770" t="s">
        <v>1623</v>
      </c>
      <c r="D770" t="s">
        <v>1175</v>
      </c>
      <c r="E770" t="s">
        <v>838</v>
      </c>
      <c r="F770" t="s">
        <v>837</v>
      </c>
      <c r="G770" t="s">
        <v>1810</v>
      </c>
      <c r="H770" t="s">
        <v>1817</v>
      </c>
    </row>
    <row r="771" spans="1:8" x14ac:dyDescent="0.25">
      <c r="A771" t="s">
        <v>702</v>
      </c>
      <c r="B771" t="s">
        <v>1625</v>
      </c>
      <c r="C771" t="s">
        <v>946</v>
      </c>
      <c r="D771" t="s">
        <v>868</v>
      </c>
      <c r="E771" t="s">
        <v>867</v>
      </c>
      <c r="F771" t="s">
        <v>849</v>
      </c>
      <c r="G771" t="s">
        <v>1806</v>
      </c>
      <c r="H771" t="s">
        <v>1817</v>
      </c>
    </row>
    <row r="772" spans="1:8" x14ac:dyDescent="0.25">
      <c r="A772" t="s">
        <v>2659</v>
      </c>
      <c r="B772" t="s">
        <v>2660</v>
      </c>
      <c r="C772" t="s">
        <v>2661</v>
      </c>
      <c r="D772" t="s">
        <v>2662</v>
      </c>
      <c r="E772" t="s">
        <v>2663</v>
      </c>
      <c r="F772" t="s">
        <v>2664</v>
      </c>
      <c r="G772" t="s">
        <v>1806</v>
      </c>
      <c r="H772" t="s">
        <v>1817</v>
      </c>
    </row>
    <row r="773" spans="1:8" x14ac:dyDescent="0.25">
      <c r="A773" t="s">
        <v>703</v>
      </c>
      <c r="B773" t="s">
        <v>1626</v>
      </c>
      <c r="C773" t="s">
        <v>1033</v>
      </c>
      <c r="D773" t="s">
        <v>884</v>
      </c>
      <c r="E773" t="s">
        <v>867</v>
      </c>
      <c r="F773" t="s">
        <v>849</v>
      </c>
      <c r="G773" t="s">
        <v>1806</v>
      </c>
      <c r="H773" t="s">
        <v>1817</v>
      </c>
    </row>
    <row r="774" spans="1:8" x14ac:dyDescent="0.25">
      <c r="A774" t="s">
        <v>2665</v>
      </c>
      <c r="B774" t="s">
        <v>1626</v>
      </c>
      <c r="C774" t="s">
        <v>1033</v>
      </c>
      <c r="D774" t="s">
        <v>884</v>
      </c>
      <c r="E774" t="s">
        <v>867</v>
      </c>
      <c r="F774" t="s">
        <v>849</v>
      </c>
      <c r="G774" t="s">
        <v>1806</v>
      </c>
      <c r="H774" t="s">
        <v>1817</v>
      </c>
    </row>
    <row r="775" spans="1:8" x14ac:dyDescent="0.25">
      <c r="A775" t="s">
        <v>704</v>
      </c>
      <c r="B775" t="s">
        <v>1627</v>
      </c>
      <c r="C775" t="s">
        <v>1575</v>
      </c>
      <c r="D775" t="s">
        <v>884</v>
      </c>
      <c r="E775" t="s">
        <v>867</v>
      </c>
      <c r="F775" t="s">
        <v>849</v>
      </c>
      <c r="G775" t="s">
        <v>1806</v>
      </c>
      <c r="H775" t="s">
        <v>1817</v>
      </c>
    </row>
    <row r="776" spans="1:8" x14ac:dyDescent="0.25">
      <c r="A776" t="s">
        <v>705</v>
      </c>
      <c r="B776" t="s">
        <v>1628</v>
      </c>
      <c r="C776" t="s">
        <v>1240</v>
      </c>
      <c r="D776" t="s">
        <v>1239</v>
      </c>
      <c r="E776" t="s">
        <v>838</v>
      </c>
      <c r="F776" t="s">
        <v>837</v>
      </c>
      <c r="G776" t="s">
        <v>1810</v>
      </c>
      <c r="H776" t="s">
        <v>1817</v>
      </c>
    </row>
    <row r="777" spans="1:8" x14ac:dyDescent="0.25">
      <c r="A777" t="s">
        <v>706</v>
      </c>
      <c r="B777" t="s">
        <v>1629</v>
      </c>
      <c r="C777" t="s">
        <v>843</v>
      </c>
      <c r="D777" t="s">
        <v>842</v>
      </c>
      <c r="E777" t="s">
        <v>838</v>
      </c>
      <c r="F777" t="s">
        <v>837</v>
      </c>
      <c r="G777" t="s">
        <v>1810</v>
      </c>
      <c r="H777" t="s">
        <v>1817</v>
      </c>
    </row>
    <row r="778" spans="1:8" x14ac:dyDescent="0.25">
      <c r="A778" t="s">
        <v>2666</v>
      </c>
      <c r="B778" t="s">
        <v>2667</v>
      </c>
      <c r="C778" t="s">
        <v>1577</v>
      </c>
      <c r="D778" t="s">
        <v>963</v>
      </c>
      <c r="E778" t="s">
        <v>838</v>
      </c>
      <c r="F778" t="s">
        <v>837</v>
      </c>
      <c r="G778" t="s">
        <v>1810</v>
      </c>
      <c r="H778" t="s">
        <v>1817</v>
      </c>
    </row>
    <row r="779" spans="1:8" x14ac:dyDescent="0.25">
      <c r="A779" t="s">
        <v>2668</v>
      </c>
      <c r="B779" t="s">
        <v>2667</v>
      </c>
      <c r="C779" t="s">
        <v>1577</v>
      </c>
      <c r="D779" t="s">
        <v>963</v>
      </c>
      <c r="E779" t="s">
        <v>838</v>
      </c>
      <c r="F779" t="s">
        <v>837</v>
      </c>
      <c r="G779" t="s">
        <v>1810</v>
      </c>
      <c r="H779" t="s">
        <v>1817</v>
      </c>
    </row>
    <row r="780" spans="1:8" x14ac:dyDescent="0.25">
      <c r="A780" t="s">
        <v>2669</v>
      </c>
      <c r="B780" t="s">
        <v>2670</v>
      </c>
      <c r="C780" t="s">
        <v>2671</v>
      </c>
      <c r="D780" t="s">
        <v>2672</v>
      </c>
      <c r="E780" t="s">
        <v>968</v>
      </c>
      <c r="F780" t="s">
        <v>862</v>
      </c>
      <c r="G780" t="s">
        <v>1806</v>
      </c>
      <c r="H780" t="s">
        <v>1817</v>
      </c>
    </row>
    <row r="781" spans="1:8" x14ac:dyDescent="0.25">
      <c r="A781" t="s">
        <v>707</v>
      </c>
      <c r="B781" t="s">
        <v>1630</v>
      </c>
      <c r="C781" t="s">
        <v>1577</v>
      </c>
      <c r="D781" t="s">
        <v>963</v>
      </c>
      <c r="E781" t="s">
        <v>838</v>
      </c>
      <c r="F781" t="s">
        <v>837</v>
      </c>
      <c r="G781" t="s">
        <v>1810</v>
      </c>
      <c r="H781" t="s">
        <v>1817</v>
      </c>
    </row>
    <row r="782" spans="1:8" x14ac:dyDescent="0.25">
      <c r="A782" t="s">
        <v>708</v>
      </c>
      <c r="B782" t="s">
        <v>1630</v>
      </c>
      <c r="C782" t="s">
        <v>1577</v>
      </c>
      <c r="D782" t="s">
        <v>963</v>
      </c>
      <c r="E782" t="s">
        <v>838</v>
      </c>
      <c r="F782" t="s">
        <v>837</v>
      </c>
      <c r="G782" t="s">
        <v>1810</v>
      </c>
      <c r="H782" t="s">
        <v>1817</v>
      </c>
    </row>
    <row r="783" spans="1:8" x14ac:dyDescent="0.25">
      <c r="A783" t="s">
        <v>2673</v>
      </c>
      <c r="B783" t="s">
        <v>1630</v>
      </c>
      <c r="C783" t="s">
        <v>1577</v>
      </c>
      <c r="D783" t="s">
        <v>963</v>
      </c>
      <c r="E783" t="s">
        <v>838</v>
      </c>
      <c r="F783" t="s">
        <v>837</v>
      </c>
      <c r="G783" t="s">
        <v>1810</v>
      </c>
      <c r="H783" t="s">
        <v>1817</v>
      </c>
    </row>
    <row r="784" spans="1:8" x14ac:dyDescent="0.25">
      <c r="A784" t="s">
        <v>709</v>
      </c>
      <c r="B784" t="s">
        <v>1630</v>
      </c>
      <c r="C784" t="s">
        <v>1577</v>
      </c>
      <c r="D784" t="s">
        <v>963</v>
      </c>
      <c r="E784" t="s">
        <v>838</v>
      </c>
      <c r="F784" t="s">
        <v>837</v>
      </c>
      <c r="G784" t="s">
        <v>1810</v>
      </c>
      <c r="H784" t="s">
        <v>1817</v>
      </c>
    </row>
    <row r="785" spans="1:8" x14ac:dyDescent="0.25">
      <c r="A785" t="s">
        <v>2674</v>
      </c>
      <c r="B785" t="s">
        <v>1630</v>
      </c>
      <c r="C785" t="s">
        <v>1577</v>
      </c>
      <c r="D785" t="s">
        <v>963</v>
      </c>
      <c r="E785" t="s">
        <v>838</v>
      </c>
      <c r="F785" t="s">
        <v>837</v>
      </c>
      <c r="G785" t="s">
        <v>1810</v>
      </c>
      <c r="H785" t="s">
        <v>1817</v>
      </c>
    </row>
    <row r="786" spans="1:8" x14ac:dyDescent="0.25">
      <c r="A786" t="s">
        <v>710</v>
      </c>
      <c r="B786" t="s">
        <v>1630</v>
      </c>
      <c r="C786" t="s">
        <v>1577</v>
      </c>
      <c r="D786" t="s">
        <v>963</v>
      </c>
      <c r="E786" t="s">
        <v>838</v>
      </c>
      <c r="F786" t="s">
        <v>837</v>
      </c>
      <c r="G786" t="s">
        <v>1810</v>
      </c>
      <c r="H786" t="s">
        <v>1817</v>
      </c>
    </row>
    <row r="787" spans="1:8" x14ac:dyDescent="0.25">
      <c r="A787" t="s">
        <v>711</v>
      </c>
      <c r="B787" t="s">
        <v>1630</v>
      </c>
      <c r="C787" t="s">
        <v>1577</v>
      </c>
      <c r="D787" t="s">
        <v>963</v>
      </c>
      <c r="E787" t="s">
        <v>838</v>
      </c>
      <c r="F787" t="s">
        <v>837</v>
      </c>
      <c r="G787" t="s">
        <v>1810</v>
      </c>
      <c r="H787" t="s">
        <v>1817</v>
      </c>
    </row>
    <row r="788" spans="1:8" x14ac:dyDescent="0.25">
      <c r="A788" t="s">
        <v>712</v>
      </c>
      <c r="B788" t="s">
        <v>1630</v>
      </c>
      <c r="C788" t="s">
        <v>1577</v>
      </c>
      <c r="D788" t="s">
        <v>963</v>
      </c>
      <c r="E788" t="s">
        <v>838</v>
      </c>
      <c r="F788" t="s">
        <v>837</v>
      </c>
      <c r="G788" t="s">
        <v>1810</v>
      </c>
      <c r="H788" t="s">
        <v>1817</v>
      </c>
    </row>
    <row r="789" spans="1:8" x14ac:dyDescent="0.25">
      <c r="A789" t="s">
        <v>713</v>
      </c>
      <c r="B789" t="s">
        <v>1630</v>
      </c>
      <c r="C789" t="s">
        <v>1577</v>
      </c>
      <c r="D789" t="s">
        <v>963</v>
      </c>
      <c r="E789" t="s">
        <v>838</v>
      </c>
      <c r="F789" t="s">
        <v>837</v>
      </c>
      <c r="G789" t="s">
        <v>1810</v>
      </c>
    </row>
    <row r="790" spans="1:8" x14ac:dyDescent="0.25">
      <c r="A790" t="s">
        <v>714</v>
      </c>
      <c r="B790" t="s">
        <v>1630</v>
      </c>
      <c r="C790" t="s">
        <v>1577</v>
      </c>
      <c r="D790" t="s">
        <v>963</v>
      </c>
      <c r="E790" t="s">
        <v>838</v>
      </c>
      <c r="F790" t="s">
        <v>837</v>
      </c>
      <c r="G790" t="s">
        <v>1810</v>
      </c>
      <c r="H790" t="s">
        <v>1817</v>
      </c>
    </row>
    <row r="791" spans="1:8" x14ac:dyDescent="0.25">
      <c r="A791" t="s">
        <v>715</v>
      </c>
      <c r="B791" t="s">
        <v>1631</v>
      </c>
      <c r="C791" t="s">
        <v>908</v>
      </c>
      <c r="D791" t="s">
        <v>907</v>
      </c>
      <c r="E791" t="s">
        <v>838</v>
      </c>
      <c r="F791" t="s">
        <v>837</v>
      </c>
      <c r="G791" t="s">
        <v>1810</v>
      </c>
      <c r="H791" t="s">
        <v>1817</v>
      </c>
    </row>
    <row r="792" spans="1:8" x14ac:dyDescent="0.25">
      <c r="A792" t="s">
        <v>2675</v>
      </c>
      <c r="B792" t="s">
        <v>2676</v>
      </c>
      <c r="C792" t="s">
        <v>1527</v>
      </c>
      <c r="D792" t="s">
        <v>900</v>
      </c>
      <c r="E792" t="s">
        <v>838</v>
      </c>
      <c r="F792" t="s">
        <v>837</v>
      </c>
      <c r="G792" t="s">
        <v>1810</v>
      </c>
      <c r="H792" t="s">
        <v>1817</v>
      </c>
    </row>
    <row r="793" spans="1:8" x14ac:dyDescent="0.25">
      <c r="A793" t="s">
        <v>716</v>
      </c>
      <c r="B793" t="s">
        <v>1632</v>
      </c>
      <c r="C793" t="s">
        <v>1003</v>
      </c>
      <c r="D793" t="s">
        <v>1002</v>
      </c>
      <c r="E793" t="s">
        <v>968</v>
      </c>
      <c r="F793" t="s">
        <v>862</v>
      </c>
      <c r="G793" t="s">
        <v>1806</v>
      </c>
      <c r="H793" t="s">
        <v>1817</v>
      </c>
    </row>
    <row r="794" spans="1:8" x14ac:dyDescent="0.25">
      <c r="A794" t="s">
        <v>717</v>
      </c>
      <c r="B794" t="s">
        <v>1633</v>
      </c>
      <c r="C794" t="s">
        <v>1072</v>
      </c>
      <c r="D794" t="s">
        <v>1002</v>
      </c>
      <c r="E794" t="s">
        <v>968</v>
      </c>
      <c r="F794" t="s">
        <v>862</v>
      </c>
      <c r="G794" t="s">
        <v>1806</v>
      </c>
      <c r="H794" t="s">
        <v>1817</v>
      </c>
    </row>
    <row r="795" spans="1:8" x14ac:dyDescent="0.25">
      <c r="A795" t="s">
        <v>2677</v>
      </c>
      <c r="B795" t="s">
        <v>2678</v>
      </c>
      <c r="C795" t="s">
        <v>2333</v>
      </c>
      <c r="D795" t="s">
        <v>1248</v>
      </c>
      <c r="E795" t="s">
        <v>1247</v>
      </c>
      <c r="F795" t="s">
        <v>1246</v>
      </c>
      <c r="G795" t="s">
        <v>1806</v>
      </c>
      <c r="H795" t="s">
        <v>1817</v>
      </c>
    </row>
    <row r="796" spans="1:8" x14ac:dyDescent="0.25">
      <c r="A796" t="s">
        <v>718</v>
      </c>
      <c r="B796" t="s">
        <v>1635</v>
      </c>
      <c r="C796" t="s">
        <v>1634</v>
      </c>
      <c r="D796" t="s">
        <v>1239</v>
      </c>
      <c r="E796" t="s">
        <v>838</v>
      </c>
      <c r="F796" t="s">
        <v>837</v>
      </c>
      <c r="G796" t="s">
        <v>1810</v>
      </c>
      <c r="H796" t="s">
        <v>1817</v>
      </c>
    </row>
    <row r="797" spans="1:8" x14ac:dyDescent="0.25">
      <c r="A797" t="s">
        <v>719</v>
      </c>
      <c r="B797" t="s">
        <v>1636</v>
      </c>
      <c r="C797" t="s">
        <v>1472</v>
      </c>
      <c r="D797" t="s">
        <v>1471</v>
      </c>
      <c r="E797" t="s">
        <v>889</v>
      </c>
      <c r="F797" t="s">
        <v>862</v>
      </c>
      <c r="G797" t="s">
        <v>1806</v>
      </c>
      <c r="H797" t="s">
        <v>1817</v>
      </c>
    </row>
    <row r="798" spans="1:8" x14ac:dyDescent="0.25">
      <c r="A798" t="s">
        <v>720</v>
      </c>
      <c r="B798" t="s">
        <v>1638</v>
      </c>
      <c r="C798" t="s">
        <v>1637</v>
      </c>
      <c r="D798" t="s">
        <v>924</v>
      </c>
      <c r="E798" t="s">
        <v>923</v>
      </c>
      <c r="F798" t="s">
        <v>862</v>
      </c>
      <c r="G798" t="s">
        <v>1806</v>
      </c>
      <c r="H798" t="s">
        <v>1817</v>
      </c>
    </row>
    <row r="799" spans="1:8" x14ac:dyDescent="0.25">
      <c r="A799" t="s">
        <v>2679</v>
      </c>
      <c r="B799" t="s">
        <v>2680</v>
      </c>
      <c r="C799" t="s">
        <v>2497</v>
      </c>
      <c r="D799" t="s">
        <v>846</v>
      </c>
      <c r="E799" t="s">
        <v>838</v>
      </c>
      <c r="F799" t="s">
        <v>837</v>
      </c>
      <c r="G799" t="s">
        <v>1810</v>
      </c>
      <c r="H799" t="s">
        <v>1817</v>
      </c>
    </row>
    <row r="800" spans="1:8" x14ac:dyDescent="0.25">
      <c r="A800" t="s">
        <v>2681</v>
      </c>
      <c r="B800" t="s">
        <v>2680</v>
      </c>
      <c r="C800" t="s">
        <v>2497</v>
      </c>
      <c r="D800" t="s">
        <v>846</v>
      </c>
      <c r="E800" t="s">
        <v>838</v>
      </c>
      <c r="F800" t="s">
        <v>837</v>
      </c>
      <c r="G800" t="s">
        <v>1810</v>
      </c>
      <c r="H800" t="s">
        <v>1817</v>
      </c>
    </row>
    <row r="801" spans="1:8" x14ac:dyDescent="0.25">
      <c r="A801" t="s">
        <v>721</v>
      </c>
      <c r="B801" t="s">
        <v>1639</v>
      </c>
      <c r="C801" t="s">
        <v>985</v>
      </c>
      <c r="D801" t="s">
        <v>984</v>
      </c>
      <c r="E801" t="s">
        <v>983</v>
      </c>
      <c r="F801" t="s">
        <v>837</v>
      </c>
      <c r="G801" t="s">
        <v>1810</v>
      </c>
      <c r="H801" t="s">
        <v>1817</v>
      </c>
    </row>
    <row r="802" spans="1:8" x14ac:dyDescent="0.25">
      <c r="A802" t="s">
        <v>722</v>
      </c>
      <c r="B802" t="s">
        <v>1639</v>
      </c>
      <c r="C802" t="s">
        <v>985</v>
      </c>
      <c r="D802" t="s">
        <v>984</v>
      </c>
      <c r="E802" t="s">
        <v>983</v>
      </c>
      <c r="F802" t="s">
        <v>837</v>
      </c>
      <c r="G802" t="s">
        <v>1810</v>
      </c>
      <c r="H802" t="s">
        <v>1817</v>
      </c>
    </row>
    <row r="803" spans="1:8" x14ac:dyDescent="0.25">
      <c r="A803" t="s">
        <v>723</v>
      </c>
      <c r="B803" t="s">
        <v>1639</v>
      </c>
      <c r="C803" t="s">
        <v>985</v>
      </c>
      <c r="D803" t="s">
        <v>984</v>
      </c>
      <c r="E803" t="s">
        <v>983</v>
      </c>
      <c r="F803" t="s">
        <v>837</v>
      </c>
      <c r="G803" t="s">
        <v>1810</v>
      </c>
    </row>
    <row r="804" spans="1:8" x14ac:dyDescent="0.25">
      <c r="A804" t="s">
        <v>724</v>
      </c>
      <c r="B804" t="s">
        <v>1640</v>
      </c>
      <c r="C804" t="s">
        <v>1278</v>
      </c>
      <c r="D804" t="s">
        <v>1075</v>
      </c>
      <c r="E804" t="s">
        <v>889</v>
      </c>
      <c r="F804" t="s">
        <v>862</v>
      </c>
      <c r="G804" t="s">
        <v>1806</v>
      </c>
      <c r="H804" t="s">
        <v>1817</v>
      </c>
    </row>
    <row r="805" spans="1:8" x14ac:dyDescent="0.25">
      <c r="A805" t="s">
        <v>725</v>
      </c>
      <c r="B805" t="s">
        <v>1641</v>
      </c>
      <c r="C805" t="s">
        <v>855</v>
      </c>
      <c r="D805" t="s">
        <v>854</v>
      </c>
      <c r="E805" t="s">
        <v>838</v>
      </c>
      <c r="F805" t="s">
        <v>837</v>
      </c>
      <c r="G805" t="s">
        <v>1810</v>
      </c>
      <c r="H805" t="s">
        <v>1817</v>
      </c>
    </row>
    <row r="806" spans="1:8" x14ac:dyDescent="0.25">
      <c r="A806" t="s">
        <v>2682</v>
      </c>
      <c r="B806" t="s">
        <v>2683</v>
      </c>
      <c r="C806" t="s">
        <v>2684</v>
      </c>
      <c r="D806" t="s">
        <v>2279</v>
      </c>
      <c r="E806" t="s">
        <v>1728</v>
      </c>
      <c r="F806" t="s">
        <v>1167</v>
      </c>
      <c r="G806" t="s">
        <v>1808</v>
      </c>
      <c r="H806" t="s">
        <v>1817</v>
      </c>
    </row>
    <row r="807" spans="1:8" x14ac:dyDescent="0.25">
      <c r="A807" t="s">
        <v>726</v>
      </c>
      <c r="B807" t="s">
        <v>1643</v>
      </c>
      <c r="C807" t="s">
        <v>1642</v>
      </c>
      <c r="D807" t="s">
        <v>959</v>
      </c>
      <c r="E807" t="s">
        <v>838</v>
      </c>
      <c r="F807" t="s">
        <v>837</v>
      </c>
      <c r="G807" t="s">
        <v>1810</v>
      </c>
      <c r="H807" t="s">
        <v>1817</v>
      </c>
    </row>
    <row r="808" spans="1:8" x14ac:dyDescent="0.25">
      <c r="A808" t="s">
        <v>727</v>
      </c>
      <c r="B808" t="s">
        <v>1796</v>
      </c>
      <c r="C808" t="s">
        <v>1458</v>
      </c>
      <c r="D808" t="s">
        <v>867</v>
      </c>
      <c r="E808" t="s">
        <v>1457</v>
      </c>
      <c r="F808" t="s">
        <v>849</v>
      </c>
      <c r="G808" t="s">
        <v>1806</v>
      </c>
    </row>
    <row r="809" spans="1:8" x14ac:dyDescent="0.25">
      <c r="A809" t="s">
        <v>728</v>
      </c>
      <c r="B809" t="s">
        <v>1645</v>
      </c>
      <c r="C809" t="s">
        <v>1644</v>
      </c>
      <c r="D809" t="s">
        <v>854</v>
      </c>
      <c r="E809" t="s">
        <v>838</v>
      </c>
      <c r="F809" t="s">
        <v>837</v>
      </c>
      <c r="G809" t="s">
        <v>1810</v>
      </c>
      <c r="H809" t="s">
        <v>1817</v>
      </c>
    </row>
    <row r="810" spans="1:8" x14ac:dyDescent="0.25">
      <c r="A810" t="s">
        <v>729</v>
      </c>
      <c r="B810" t="s">
        <v>1645</v>
      </c>
      <c r="C810" t="s">
        <v>1644</v>
      </c>
      <c r="D810" t="s">
        <v>854</v>
      </c>
      <c r="E810" t="s">
        <v>838</v>
      </c>
      <c r="F810" t="s">
        <v>837</v>
      </c>
      <c r="G810" t="s">
        <v>1810</v>
      </c>
      <c r="H810" t="s">
        <v>1817</v>
      </c>
    </row>
    <row r="811" spans="1:8" x14ac:dyDescent="0.25">
      <c r="A811" t="s">
        <v>2685</v>
      </c>
      <c r="B811" t="s">
        <v>2686</v>
      </c>
      <c r="C811" t="s">
        <v>2687</v>
      </c>
      <c r="D811" t="s">
        <v>1457</v>
      </c>
      <c r="E811" t="s">
        <v>867</v>
      </c>
      <c r="F811" t="s">
        <v>849</v>
      </c>
      <c r="G811" t="s">
        <v>1806</v>
      </c>
      <c r="H811" t="s">
        <v>1817</v>
      </c>
    </row>
    <row r="812" spans="1:8" x14ac:dyDescent="0.25">
      <c r="A812" t="s">
        <v>730</v>
      </c>
      <c r="B812" t="s">
        <v>1646</v>
      </c>
      <c r="C812" t="s">
        <v>1253</v>
      </c>
      <c r="D812" t="s">
        <v>1252</v>
      </c>
      <c r="E812" t="s">
        <v>867</v>
      </c>
      <c r="F812" t="s">
        <v>849</v>
      </c>
      <c r="G812" t="s">
        <v>1806</v>
      </c>
      <c r="H812" t="s">
        <v>1817</v>
      </c>
    </row>
    <row r="813" spans="1:8" x14ac:dyDescent="0.25">
      <c r="A813" t="s">
        <v>2688</v>
      </c>
      <c r="B813" t="s">
        <v>1647</v>
      </c>
      <c r="C813" t="s">
        <v>973</v>
      </c>
      <c r="D813" t="s">
        <v>972</v>
      </c>
      <c r="E813" t="s">
        <v>968</v>
      </c>
      <c r="F813" t="s">
        <v>862</v>
      </c>
      <c r="G813" t="s">
        <v>1806</v>
      </c>
      <c r="H813" t="s">
        <v>1817</v>
      </c>
    </row>
    <row r="814" spans="1:8" x14ac:dyDescent="0.25">
      <c r="A814" t="s">
        <v>731</v>
      </c>
      <c r="B814" t="s">
        <v>1647</v>
      </c>
      <c r="C814" t="s">
        <v>973</v>
      </c>
      <c r="D814" t="s">
        <v>972</v>
      </c>
      <c r="E814" t="s">
        <v>968</v>
      </c>
      <c r="F814" t="s">
        <v>862</v>
      </c>
      <c r="G814" t="s">
        <v>1806</v>
      </c>
      <c r="H814" t="s">
        <v>1817</v>
      </c>
    </row>
    <row r="815" spans="1:8" x14ac:dyDescent="0.25">
      <c r="A815" t="s">
        <v>732</v>
      </c>
      <c r="B815" t="s">
        <v>1647</v>
      </c>
      <c r="C815" t="s">
        <v>973</v>
      </c>
      <c r="D815" t="s">
        <v>972</v>
      </c>
      <c r="E815" t="s">
        <v>968</v>
      </c>
      <c r="F815" t="s">
        <v>862</v>
      </c>
      <c r="G815" t="s">
        <v>1806</v>
      </c>
      <c r="H815" t="s">
        <v>1817</v>
      </c>
    </row>
    <row r="816" spans="1:8" x14ac:dyDescent="0.25">
      <c r="A816" t="s">
        <v>733</v>
      </c>
      <c r="B816" t="s">
        <v>1647</v>
      </c>
      <c r="C816" t="s">
        <v>973</v>
      </c>
      <c r="D816" t="s">
        <v>972</v>
      </c>
      <c r="E816" t="s">
        <v>968</v>
      </c>
      <c r="F816" t="s">
        <v>862</v>
      </c>
      <c r="G816" t="s">
        <v>1806</v>
      </c>
      <c r="H816" t="s">
        <v>1817</v>
      </c>
    </row>
    <row r="817" spans="1:8" x14ac:dyDescent="0.25">
      <c r="A817" t="s">
        <v>734</v>
      </c>
      <c r="B817" t="s">
        <v>1797</v>
      </c>
      <c r="C817" t="s">
        <v>936</v>
      </c>
      <c r="D817" t="s">
        <v>867</v>
      </c>
      <c r="E817" t="s">
        <v>884</v>
      </c>
      <c r="F817" t="s">
        <v>849</v>
      </c>
      <c r="G817" t="s">
        <v>1806</v>
      </c>
    </row>
    <row r="818" spans="1:8" x14ac:dyDescent="0.25">
      <c r="A818" t="s">
        <v>735</v>
      </c>
      <c r="B818" t="s">
        <v>1648</v>
      </c>
      <c r="C818" t="s">
        <v>1033</v>
      </c>
      <c r="D818" t="s">
        <v>884</v>
      </c>
      <c r="E818" t="s">
        <v>867</v>
      </c>
      <c r="F818" t="s">
        <v>849</v>
      </c>
      <c r="G818" t="s">
        <v>1806</v>
      </c>
      <c r="H818" t="s">
        <v>1819</v>
      </c>
    </row>
    <row r="819" spans="1:8" x14ac:dyDescent="0.25">
      <c r="A819" t="s">
        <v>736</v>
      </c>
      <c r="B819" t="s">
        <v>1649</v>
      </c>
      <c r="C819" t="s">
        <v>908</v>
      </c>
      <c r="D819" t="s">
        <v>907</v>
      </c>
      <c r="E819" t="s">
        <v>838</v>
      </c>
      <c r="F819" t="s">
        <v>837</v>
      </c>
      <c r="G819" t="s">
        <v>1810</v>
      </c>
      <c r="H819" t="s">
        <v>1817</v>
      </c>
    </row>
    <row r="820" spans="1:8" x14ac:dyDescent="0.25">
      <c r="A820" t="s">
        <v>737</v>
      </c>
      <c r="B820" t="s">
        <v>1649</v>
      </c>
      <c r="C820" t="s">
        <v>908</v>
      </c>
      <c r="D820" t="s">
        <v>907</v>
      </c>
      <c r="E820" t="s">
        <v>838</v>
      </c>
      <c r="F820" t="s">
        <v>837</v>
      </c>
      <c r="G820" t="s">
        <v>1810</v>
      </c>
      <c r="H820" t="s">
        <v>1817</v>
      </c>
    </row>
    <row r="821" spans="1:8" x14ac:dyDescent="0.25">
      <c r="A821" t="s">
        <v>2689</v>
      </c>
      <c r="B821" t="s">
        <v>1649</v>
      </c>
      <c r="C821" t="s">
        <v>908</v>
      </c>
      <c r="D821" t="s">
        <v>907</v>
      </c>
      <c r="E821" t="s">
        <v>838</v>
      </c>
      <c r="F821" t="s">
        <v>837</v>
      </c>
      <c r="G821" t="s">
        <v>1810</v>
      </c>
      <c r="H821" t="s">
        <v>1817</v>
      </c>
    </row>
    <row r="822" spans="1:8" x14ac:dyDescent="0.25">
      <c r="A822" t="s">
        <v>2690</v>
      </c>
      <c r="B822" t="s">
        <v>1649</v>
      </c>
      <c r="C822" t="s">
        <v>908</v>
      </c>
      <c r="D822" t="s">
        <v>907</v>
      </c>
      <c r="E822" t="s">
        <v>838</v>
      </c>
      <c r="F822" t="s">
        <v>837</v>
      </c>
      <c r="G822" t="s">
        <v>1810</v>
      </c>
      <c r="H822" t="s">
        <v>1817</v>
      </c>
    </row>
    <row r="823" spans="1:8" x14ac:dyDescent="0.25">
      <c r="A823" t="s">
        <v>738</v>
      </c>
      <c r="B823" t="s">
        <v>1649</v>
      </c>
      <c r="C823" t="s">
        <v>908</v>
      </c>
      <c r="D823" t="s">
        <v>907</v>
      </c>
      <c r="E823" t="s">
        <v>838</v>
      </c>
      <c r="F823" t="s">
        <v>837</v>
      </c>
      <c r="G823" t="s">
        <v>1810</v>
      </c>
      <c r="H823" t="s">
        <v>1817</v>
      </c>
    </row>
    <row r="824" spans="1:8" x14ac:dyDescent="0.25">
      <c r="A824" t="s">
        <v>2691</v>
      </c>
      <c r="B824" t="s">
        <v>2692</v>
      </c>
      <c r="C824" t="s">
        <v>843</v>
      </c>
      <c r="D824" t="s">
        <v>842</v>
      </c>
      <c r="E824" t="s">
        <v>838</v>
      </c>
      <c r="F824" t="s">
        <v>837</v>
      </c>
      <c r="G824" t="s">
        <v>1810</v>
      </c>
      <c r="H824" t="s">
        <v>1817</v>
      </c>
    </row>
    <row r="825" spans="1:8" x14ac:dyDescent="0.25">
      <c r="A825" t="s">
        <v>2693</v>
      </c>
      <c r="B825" t="s">
        <v>2694</v>
      </c>
      <c r="C825" t="s">
        <v>2437</v>
      </c>
      <c r="D825" t="s">
        <v>2438</v>
      </c>
      <c r="E825" t="s">
        <v>1669</v>
      </c>
      <c r="F825" t="s">
        <v>1065</v>
      </c>
      <c r="G825" t="s">
        <v>1809</v>
      </c>
      <c r="H825" t="s">
        <v>1817</v>
      </c>
    </row>
    <row r="826" spans="1:8" x14ac:dyDescent="0.25">
      <c r="A826" t="s">
        <v>2695</v>
      </c>
      <c r="B826" t="s">
        <v>2696</v>
      </c>
      <c r="C826" t="s">
        <v>843</v>
      </c>
      <c r="D826" t="s">
        <v>842</v>
      </c>
      <c r="E826" t="s">
        <v>838</v>
      </c>
      <c r="F826" t="s">
        <v>837</v>
      </c>
      <c r="G826" t="s">
        <v>1810</v>
      </c>
      <c r="H826" t="s">
        <v>1817</v>
      </c>
    </row>
    <row r="827" spans="1:8" x14ac:dyDescent="0.25">
      <c r="A827" t="s">
        <v>2697</v>
      </c>
      <c r="B827" t="s">
        <v>2698</v>
      </c>
      <c r="C827" t="s">
        <v>916</v>
      </c>
      <c r="D827" t="s">
        <v>915</v>
      </c>
      <c r="E827" t="s">
        <v>880</v>
      </c>
      <c r="F827" t="s">
        <v>837</v>
      </c>
      <c r="G827" t="s">
        <v>1810</v>
      </c>
      <c r="H827" t="s">
        <v>1817</v>
      </c>
    </row>
    <row r="828" spans="1:8" x14ac:dyDescent="0.25">
      <c r="A828" t="s">
        <v>2699</v>
      </c>
      <c r="B828" t="s">
        <v>2700</v>
      </c>
      <c r="C828" t="s">
        <v>840</v>
      </c>
      <c r="D828" t="s">
        <v>839</v>
      </c>
      <c r="E828" t="s">
        <v>838</v>
      </c>
      <c r="F828" t="s">
        <v>837</v>
      </c>
      <c r="G828" t="s">
        <v>1810</v>
      </c>
      <c r="H828" t="s">
        <v>1817</v>
      </c>
    </row>
    <row r="829" spans="1:8" x14ac:dyDescent="0.25">
      <c r="A829" t="s">
        <v>739</v>
      </c>
      <c r="B829" t="s">
        <v>1651</v>
      </c>
      <c r="C829" t="s">
        <v>1650</v>
      </c>
      <c r="D829" t="s">
        <v>910</v>
      </c>
      <c r="E829" t="s">
        <v>889</v>
      </c>
      <c r="F829" t="s">
        <v>862</v>
      </c>
      <c r="G829" t="s">
        <v>1806</v>
      </c>
      <c r="H829" t="s">
        <v>1817</v>
      </c>
    </row>
    <row r="830" spans="1:8" x14ac:dyDescent="0.25">
      <c r="A830" t="s">
        <v>2769</v>
      </c>
      <c r="B830" t="s">
        <v>2770</v>
      </c>
      <c r="C830" t="s">
        <v>908</v>
      </c>
      <c r="D830" t="s">
        <v>907</v>
      </c>
      <c r="E830" t="s">
        <v>838</v>
      </c>
      <c r="F830" t="s">
        <v>837</v>
      </c>
      <c r="G830" t="s">
        <v>1810</v>
      </c>
      <c r="H830" t="s">
        <v>1817</v>
      </c>
    </row>
    <row r="831" spans="1:8" x14ac:dyDescent="0.25">
      <c r="A831" t="s">
        <v>740</v>
      </c>
      <c r="B831" t="s">
        <v>1654</v>
      </c>
      <c r="C831" t="s">
        <v>1653</v>
      </c>
      <c r="D831" t="s">
        <v>1652</v>
      </c>
      <c r="E831" t="s">
        <v>1124</v>
      </c>
      <c r="F831" t="s">
        <v>857</v>
      </c>
      <c r="G831" t="s">
        <v>1806</v>
      </c>
      <c r="H831" t="s">
        <v>1817</v>
      </c>
    </row>
    <row r="832" spans="1:8" x14ac:dyDescent="0.25">
      <c r="A832" t="s">
        <v>741</v>
      </c>
      <c r="B832" t="s">
        <v>1655</v>
      </c>
      <c r="C832" t="s">
        <v>946</v>
      </c>
      <c r="D832" t="s">
        <v>868</v>
      </c>
      <c r="E832" t="s">
        <v>867</v>
      </c>
      <c r="F832" t="s">
        <v>849</v>
      </c>
      <c r="G832" t="s">
        <v>1806</v>
      </c>
      <c r="H832" t="s">
        <v>1817</v>
      </c>
    </row>
    <row r="833" spans="1:8" x14ac:dyDescent="0.25">
      <c r="A833" t="s">
        <v>742</v>
      </c>
      <c r="B833" t="s">
        <v>1657</v>
      </c>
      <c r="C833" t="s">
        <v>1656</v>
      </c>
      <c r="D833" t="s">
        <v>928</v>
      </c>
      <c r="E833" t="s">
        <v>867</v>
      </c>
      <c r="F833" t="s">
        <v>849</v>
      </c>
      <c r="G833" t="s">
        <v>1806</v>
      </c>
      <c r="H833" t="s">
        <v>1817</v>
      </c>
    </row>
    <row r="834" spans="1:8" x14ac:dyDescent="0.25">
      <c r="A834" t="s">
        <v>2701</v>
      </c>
      <c r="B834" t="s">
        <v>2702</v>
      </c>
      <c r="C834" t="s">
        <v>1854</v>
      </c>
      <c r="D834" t="s">
        <v>1855</v>
      </c>
      <c r="E834" t="s">
        <v>838</v>
      </c>
      <c r="F834" t="s">
        <v>837</v>
      </c>
      <c r="G834" t="s">
        <v>1810</v>
      </c>
      <c r="H834" t="s">
        <v>1817</v>
      </c>
    </row>
    <row r="835" spans="1:8" x14ac:dyDescent="0.25">
      <c r="A835" t="s">
        <v>743</v>
      </c>
      <c r="B835" t="s">
        <v>1659</v>
      </c>
      <c r="C835" t="s">
        <v>1658</v>
      </c>
      <c r="D835" t="s">
        <v>871</v>
      </c>
      <c r="E835" t="s">
        <v>867</v>
      </c>
      <c r="F835" t="s">
        <v>849</v>
      </c>
      <c r="G835" t="s">
        <v>1806</v>
      </c>
      <c r="H835" t="s">
        <v>1817</v>
      </c>
    </row>
    <row r="836" spans="1:8" x14ac:dyDescent="0.25">
      <c r="A836" t="s">
        <v>744</v>
      </c>
      <c r="B836" t="s">
        <v>1660</v>
      </c>
      <c r="C836" t="s">
        <v>1387</v>
      </c>
      <c r="D836" t="s">
        <v>1341</v>
      </c>
      <c r="E836" t="s">
        <v>838</v>
      </c>
      <c r="F836" t="s">
        <v>837</v>
      </c>
      <c r="G836" t="s">
        <v>1810</v>
      </c>
      <c r="H836" t="s">
        <v>1817</v>
      </c>
    </row>
    <row r="837" spans="1:8" x14ac:dyDescent="0.25">
      <c r="A837" t="s">
        <v>745</v>
      </c>
      <c r="B837" t="s">
        <v>1660</v>
      </c>
      <c r="C837" t="s">
        <v>1387</v>
      </c>
      <c r="D837" t="s">
        <v>1341</v>
      </c>
      <c r="E837" t="s">
        <v>838</v>
      </c>
      <c r="F837" t="s">
        <v>837</v>
      </c>
      <c r="G837" t="s">
        <v>1810</v>
      </c>
      <c r="H837" t="s">
        <v>1817</v>
      </c>
    </row>
    <row r="838" spans="1:8" x14ac:dyDescent="0.25">
      <c r="A838" t="s">
        <v>746</v>
      </c>
      <c r="B838" t="s">
        <v>1660</v>
      </c>
      <c r="C838" t="s">
        <v>1387</v>
      </c>
      <c r="D838" t="s">
        <v>1341</v>
      </c>
      <c r="E838" t="s">
        <v>838</v>
      </c>
      <c r="F838" t="s">
        <v>837</v>
      </c>
      <c r="G838" t="s">
        <v>1810</v>
      </c>
      <c r="H838" t="s">
        <v>1817</v>
      </c>
    </row>
    <row r="839" spans="1:8" x14ac:dyDescent="0.25">
      <c r="A839" t="s">
        <v>747</v>
      </c>
      <c r="B839" t="s">
        <v>1660</v>
      </c>
      <c r="C839" t="s">
        <v>1387</v>
      </c>
      <c r="D839" t="s">
        <v>1341</v>
      </c>
      <c r="E839" t="s">
        <v>838</v>
      </c>
      <c r="F839" t="s">
        <v>837</v>
      </c>
      <c r="G839" t="s">
        <v>1810</v>
      </c>
      <c r="H839" t="s">
        <v>1817</v>
      </c>
    </row>
    <row r="840" spans="1:8" x14ac:dyDescent="0.25">
      <c r="A840" t="s">
        <v>2703</v>
      </c>
      <c r="B840" t="s">
        <v>1660</v>
      </c>
      <c r="C840" t="s">
        <v>1387</v>
      </c>
      <c r="D840" t="s">
        <v>1341</v>
      </c>
      <c r="E840" t="s">
        <v>838</v>
      </c>
      <c r="F840" t="s">
        <v>837</v>
      </c>
      <c r="G840" t="s">
        <v>1810</v>
      </c>
      <c r="H840" t="s">
        <v>1817</v>
      </c>
    </row>
    <row r="841" spans="1:8" x14ac:dyDescent="0.25">
      <c r="A841" t="s">
        <v>2704</v>
      </c>
      <c r="B841" t="s">
        <v>1660</v>
      </c>
      <c r="C841" t="s">
        <v>1387</v>
      </c>
      <c r="D841" t="s">
        <v>1341</v>
      </c>
      <c r="E841" t="s">
        <v>838</v>
      </c>
      <c r="F841" t="s">
        <v>837</v>
      </c>
      <c r="G841" t="s">
        <v>1810</v>
      </c>
      <c r="H841" t="s">
        <v>1817</v>
      </c>
    </row>
    <row r="842" spans="1:8" x14ac:dyDescent="0.25">
      <c r="A842" t="s">
        <v>2705</v>
      </c>
      <c r="B842" t="s">
        <v>1660</v>
      </c>
      <c r="C842" t="s">
        <v>1387</v>
      </c>
      <c r="D842" t="s">
        <v>1341</v>
      </c>
      <c r="E842" t="s">
        <v>838</v>
      </c>
      <c r="F842" t="s">
        <v>837</v>
      </c>
      <c r="G842" t="s">
        <v>1810</v>
      </c>
      <c r="H842" t="s">
        <v>1817</v>
      </c>
    </row>
    <row r="843" spans="1:8" x14ac:dyDescent="0.25">
      <c r="A843" t="s">
        <v>748</v>
      </c>
      <c r="B843" t="s">
        <v>1660</v>
      </c>
      <c r="C843" t="s">
        <v>1387</v>
      </c>
      <c r="D843" t="s">
        <v>1341</v>
      </c>
      <c r="E843" t="s">
        <v>838</v>
      </c>
      <c r="F843" t="s">
        <v>837</v>
      </c>
      <c r="G843" t="s">
        <v>1810</v>
      </c>
      <c r="H843" t="s">
        <v>1817</v>
      </c>
    </row>
    <row r="844" spans="1:8" x14ac:dyDescent="0.25">
      <c r="A844" t="s">
        <v>749</v>
      </c>
      <c r="B844" t="s">
        <v>1661</v>
      </c>
      <c r="C844" t="s">
        <v>929</v>
      </c>
      <c r="D844" t="s">
        <v>928</v>
      </c>
      <c r="E844" t="s">
        <v>867</v>
      </c>
      <c r="F844" t="s">
        <v>849</v>
      </c>
      <c r="G844" t="s">
        <v>1806</v>
      </c>
      <c r="H844" t="s">
        <v>1817</v>
      </c>
    </row>
    <row r="845" spans="1:8" x14ac:dyDescent="0.25">
      <c r="A845" t="s">
        <v>750</v>
      </c>
      <c r="B845" t="s">
        <v>1661</v>
      </c>
      <c r="C845" t="s">
        <v>929</v>
      </c>
      <c r="D845" t="s">
        <v>928</v>
      </c>
      <c r="E845" t="s">
        <v>867</v>
      </c>
      <c r="F845" t="s">
        <v>849</v>
      </c>
      <c r="G845" t="s">
        <v>1806</v>
      </c>
      <c r="H845" t="s">
        <v>1817</v>
      </c>
    </row>
    <row r="846" spans="1:8" x14ac:dyDescent="0.25">
      <c r="A846" t="s">
        <v>2706</v>
      </c>
      <c r="B846" t="s">
        <v>1661</v>
      </c>
      <c r="C846" t="s">
        <v>929</v>
      </c>
      <c r="D846" t="s">
        <v>928</v>
      </c>
      <c r="E846" t="s">
        <v>867</v>
      </c>
      <c r="F846" t="s">
        <v>849</v>
      </c>
      <c r="G846" t="s">
        <v>1806</v>
      </c>
      <c r="H846" t="s">
        <v>1817</v>
      </c>
    </row>
    <row r="847" spans="1:8" x14ac:dyDescent="0.25">
      <c r="A847" t="s">
        <v>751</v>
      </c>
      <c r="B847" t="s">
        <v>1662</v>
      </c>
      <c r="C847" t="s">
        <v>908</v>
      </c>
      <c r="D847" t="s">
        <v>907</v>
      </c>
      <c r="E847" t="s">
        <v>838</v>
      </c>
      <c r="F847" t="s">
        <v>837</v>
      </c>
      <c r="G847" t="s">
        <v>1810</v>
      </c>
      <c r="H847" t="s">
        <v>1817</v>
      </c>
    </row>
    <row r="848" spans="1:8" x14ac:dyDescent="0.25">
      <c r="A848" t="s">
        <v>752</v>
      </c>
      <c r="B848" t="s">
        <v>1662</v>
      </c>
      <c r="C848" t="s">
        <v>908</v>
      </c>
      <c r="D848" t="s">
        <v>907</v>
      </c>
      <c r="E848" t="s">
        <v>838</v>
      </c>
      <c r="F848" t="s">
        <v>837</v>
      </c>
      <c r="G848" t="s">
        <v>1810</v>
      </c>
      <c r="H848" t="s">
        <v>1817</v>
      </c>
    </row>
    <row r="849" spans="1:8" x14ac:dyDescent="0.25">
      <c r="A849" t="s">
        <v>2707</v>
      </c>
      <c r="B849" t="s">
        <v>2708</v>
      </c>
      <c r="C849" t="s">
        <v>908</v>
      </c>
      <c r="D849" t="s">
        <v>907</v>
      </c>
      <c r="E849" t="s">
        <v>838</v>
      </c>
      <c r="F849" t="s">
        <v>837</v>
      </c>
      <c r="G849" t="s">
        <v>1810</v>
      </c>
      <c r="H849" t="s">
        <v>1817</v>
      </c>
    </row>
    <row r="850" spans="1:8" x14ac:dyDescent="0.25">
      <c r="A850" t="s">
        <v>753</v>
      </c>
      <c r="B850" t="s">
        <v>1663</v>
      </c>
      <c r="C850" t="s">
        <v>916</v>
      </c>
      <c r="D850" t="s">
        <v>915</v>
      </c>
      <c r="E850" t="s">
        <v>880</v>
      </c>
      <c r="F850" t="s">
        <v>837</v>
      </c>
      <c r="G850" t="s">
        <v>1810</v>
      </c>
      <c r="H850" t="s">
        <v>1817</v>
      </c>
    </row>
    <row r="851" spans="1:8" x14ac:dyDescent="0.25">
      <c r="A851" t="s">
        <v>754</v>
      </c>
      <c r="B851" t="s">
        <v>1798</v>
      </c>
      <c r="C851" t="s">
        <v>916</v>
      </c>
      <c r="D851" t="s">
        <v>838</v>
      </c>
      <c r="E851" t="s">
        <v>915</v>
      </c>
      <c r="F851" t="s">
        <v>837</v>
      </c>
      <c r="G851" t="s">
        <v>1810</v>
      </c>
    </row>
    <row r="852" spans="1:8" x14ac:dyDescent="0.25">
      <c r="A852" t="s">
        <v>755</v>
      </c>
      <c r="B852" t="s">
        <v>1664</v>
      </c>
      <c r="C852" t="s">
        <v>843</v>
      </c>
      <c r="D852" t="s">
        <v>842</v>
      </c>
      <c r="E852" t="s">
        <v>838</v>
      </c>
      <c r="F852" t="s">
        <v>837</v>
      </c>
      <c r="G852" t="s">
        <v>1810</v>
      </c>
      <c r="H852" t="s">
        <v>1817</v>
      </c>
    </row>
    <row r="853" spans="1:8" x14ac:dyDescent="0.25">
      <c r="A853" t="s">
        <v>756</v>
      </c>
      <c r="B853" t="s">
        <v>1666</v>
      </c>
      <c r="C853" t="s">
        <v>1665</v>
      </c>
      <c r="D853" t="s">
        <v>846</v>
      </c>
      <c r="E853" t="s">
        <v>838</v>
      </c>
      <c r="F853" t="s">
        <v>837</v>
      </c>
      <c r="G853" t="s">
        <v>1810</v>
      </c>
      <c r="H853" t="s">
        <v>1817</v>
      </c>
    </row>
    <row r="854" spans="1:8" x14ac:dyDescent="0.25">
      <c r="A854" t="s">
        <v>2709</v>
      </c>
      <c r="B854" t="s">
        <v>2710</v>
      </c>
      <c r="C854" t="s">
        <v>908</v>
      </c>
      <c r="D854" t="s">
        <v>907</v>
      </c>
      <c r="E854" t="s">
        <v>838</v>
      </c>
      <c r="F854" t="s">
        <v>837</v>
      </c>
      <c r="G854" t="s">
        <v>1810</v>
      </c>
      <c r="H854" t="s">
        <v>1817</v>
      </c>
    </row>
    <row r="855" spans="1:8" x14ac:dyDescent="0.25">
      <c r="A855" t="s">
        <v>757</v>
      </c>
      <c r="B855" t="s">
        <v>1667</v>
      </c>
      <c r="C855" t="s">
        <v>1303</v>
      </c>
      <c r="D855" t="s">
        <v>1029</v>
      </c>
      <c r="E855" t="s">
        <v>867</v>
      </c>
      <c r="F855" t="s">
        <v>849</v>
      </c>
      <c r="G855" t="s">
        <v>1806</v>
      </c>
      <c r="H855" t="s">
        <v>1817</v>
      </c>
    </row>
    <row r="856" spans="1:8" x14ac:dyDescent="0.25">
      <c r="A856" t="s">
        <v>758</v>
      </c>
      <c r="B856" t="s">
        <v>1668</v>
      </c>
      <c r="C856" t="s">
        <v>916</v>
      </c>
      <c r="D856" t="s">
        <v>915</v>
      </c>
      <c r="E856" t="s">
        <v>880</v>
      </c>
      <c r="F856" t="s">
        <v>837</v>
      </c>
      <c r="G856" t="s">
        <v>1810</v>
      </c>
      <c r="H856" t="s">
        <v>1817</v>
      </c>
    </row>
    <row r="857" spans="1:8" x14ac:dyDescent="0.25">
      <c r="A857" t="s">
        <v>759</v>
      </c>
      <c r="B857" t="s">
        <v>1668</v>
      </c>
      <c r="C857" t="s">
        <v>916</v>
      </c>
      <c r="D857" t="s">
        <v>915</v>
      </c>
      <c r="E857" t="s">
        <v>880</v>
      </c>
      <c r="F857" t="s">
        <v>837</v>
      </c>
      <c r="G857" t="s">
        <v>1810</v>
      </c>
      <c r="H857" t="s">
        <v>1817</v>
      </c>
    </row>
    <row r="858" spans="1:8" x14ac:dyDescent="0.25">
      <c r="A858" t="s">
        <v>2711</v>
      </c>
      <c r="B858" t="s">
        <v>1668</v>
      </c>
      <c r="C858" t="s">
        <v>916</v>
      </c>
      <c r="D858" t="s">
        <v>915</v>
      </c>
      <c r="E858" t="s">
        <v>880</v>
      </c>
      <c r="F858" t="s">
        <v>837</v>
      </c>
      <c r="G858" t="s">
        <v>1810</v>
      </c>
      <c r="H858" t="s">
        <v>1817</v>
      </c>
    </row>
    <row r="859" spans="1:8" x14ac:dyDescent="0.25">
      <c r="A859" t="s">
        <v>2712</v>
      </c>
      <c r="B859" t="s">
        <v>1668</v>
      </c>
      <c r="C859" t="s">
        <v>916</v>
      </c>
      <c r="D859" t="s">
        <v>915</v>
      </c>
      <c r="E859" t="s">
        <v>880</v>
      </c>
      <c r="F859" t="s">
        <v>837</v>
      </c>
      <c r="G859" t="s">
        <v>1810</v>
      </c>
      <c r="H859" t="s">
        <v>1817</v>
      </c>
    </row>
    <row r="860" spans="1:8" x14ac:dyDescent="0.25">
      <c r="A860" t="s">
        <v>760</v>
      </c>
      <c r="B860" t="s">
        <v>1668</v>
      </c>
      <c r="C860" t="s">
        <v>916</v>
      </c>
      <c r="D860" t="s">
        <v>915</v>
      </c>
      <c r="E860" t="s">
        <v>880</v>
      </c>
      <c r="F860" t="s">
        <v>837</v>
      </c>
      <c r="G860" t="s">
        <v>1810</v>
      </c>
      <c r="H860" t="s">
        <v>1817</v>
      </c>
    </row>
    <row r="861" spans="1:8" x14ac:dyDescent="0.25">
      <c r="A861" t="s">
        <v>761</v>
      </c>
      <c r="B861" t="s">
        <v>1668</v>
      </c>
      <c r="C861" t="s">
        <v>916</v>
      </c>
      <c r="D861" t="s">
        <v>915</v>
      </c>
      <c r="E861" t="s">
        <v>880</v>
      </c>
      <c r="F861" t="s">
        <v>837</v>
      </c>
      <c r="G861" t="s">
        <v>1810</v>
      </c>
      <c r="H861" t="s">
        <v>1817</v>
      </c>
    </row>
    <row r="862" spans="1:8" x14ac:dyDescent="0.25">
      <c r="A862" t="s">
        <v>2713</v>
      </c>
      <c r="B862" t="s">
        <v>2714</v>
      </c>
      <c r="C862" t="s">
        <v>2715</v>
      </c>
      <c r="D862" t="s">
        <v>2716</v>
      </c>
      <c r="E862" t="s">
        <v>2717</v>
      </c>
      <c r="F862" t="s">
        <v>2718</v>
      </c>
      <c r="G862" t="s">
        <v>2290</v>
      </c>
      <c r="H862" t="s">
        <v>1817</v>
      </c>
    </row>
    <row r="863" spans="1:8" x14ac:dyDescent="0.25">
      <c r="A863" t="s">
        <v>762</v>
      </c>
      <c r="B863" t="s">
        <v>1672</v>
      </c>
      <c r="C863" t="s">
        <v>1671</v>
      </c>
      <c r="D863" t="s">
        <v>1670</v>
      </c>
      <c r="E863" t="s">
        <v>1669</v>
      </c>
      <c r="F863" t="s">
        <v>1065</v>
      </c>
      <c r="G863" t="s">
        <v>1809</v>
      </c>
      <c r="H863" t="s">
        <v>1817</v>
      </c>
    </row>
    <row r="864" spans="1:8" x14ac:dyDescent="0.25">
      <c r="A864" t="s">
        <v>2719</v>
      </c>
      <c r="B864" t="s">
        <v>2720</v>
      </c>
      <c r="C864" t="s">
        <v>2721</v>
      </c>
      <c r="D864" t="s">
        <v>900</v>
      </c>
      <c r="E864" t="s">
        <v>838</v>
      </c>
      <c r="F864" t="s">
        <v>837</v>
      </c>
      <c r="G864" t="s">
        <v>1810</v>
      </c>
      <c r="H864" t="s">
        <v>1817</v>
      </c>
    </row>
    <row r="865" spans="1:8" x14ac:dyDescent="0.25">
      <c r="A865" t="s">
        <v>763</v>
      </c>
      <c r="B865" t="s">
        <v>1673</v>
      </c>
      <c r="C865" t="s">
        <v>1542</v>
      </c>
      <c r="D865" t="s">
        <v>1541</v>
      </c>
      <c r="E865" t="s">
        <v>1066</v>
      </c>
      <c r="F865" t="s">
        <v>1065</v>
      </c>
      <c r="G865" t="s">
        <v>1809</v>
      </c>
      <c r="H865" t="s">
        <v>1817</v>
      </c>
    </row>
    <row r="866" spans="1:8" x14ac:dyDescent="0.25">
      <c r="A866" t="s">
        <v>764</v>
      </c>
      <c r="B866" t="s">
        <v>1673</v>
      </c>
      <c r="C866" t="s">
        <v>1542</v>
      </c>
      <c r="D866" t="s">
        <v>1541</v>
      </c>
      <c r="E866" t="s">
        <v>1066</v>
      </c>
      <c r="F866" t="s">
        <v>1065</v>
      </c>
      <c r="G866" t="s">
        <v>1809</v>
      </c>
      <c r="H866" t="s">
        <v>1817</v>
      </c>
    </row>
    <row r="867" spans="1:8" x14ac:dyDescent="0.25">
      <c r="A867" t="s">
        <v>765</v>
      </c>
      <c r="B867" t="s">
        <v>1674</v>
      </c>
      <c r="C867" t="s">
        <v>916</v>
      </c>
      <c r="D867" t="s">
        <v>915</v>
      </c>
      <c r="E867" t="s">
        <v>880</v>
      </c>
      <c r="F867" t="s">
        <v>837</v>
      </c>
      <c r="G867" t="s">
        <v>1810</v>
      </c>
      <c r="H867" t="s">
        <v>1817</v>
      </c>
    </row>
    <row r="868" spans="1:8" x14ac:dyDescent="0.25">
      <c r="A868" t="s">
        <v>766</v>
      </c>
      <c r="B868" t="s">
        <v>1799</v>
      </c>
      <c r="C868" t="s">
        <v>936</v>
      </c>
      <c r="D868" t="s">
        <v>867</v>
      </c>
      <c r="E868" t="s">
        <v>884</v>
      </c>
      <c r="F868" t="s">
        <v>849</v>
      </c>
      <c r="G868" t="s">
        <v>1806</v>
      </c>
    </row>
    <row r="869" spans="1:8" x14ac:dyDescent="0.25">
      <c r="A869" t="s">
        <v>767</v>
      </c>
      <c r="B869" t="s">
        <v>1675</v>
      </c>
      <c r="C869" t="s">
        <v>916</v>
      </c>
      <c r="D869" t="s">
        <v>915</v>
      </c>
      <c r="E869" t="s">
        <v>880</v>
      </c>
      <c r="F869" t="s">
        <v>837</v>
      </c>
      <c r="G869" t="s">
        <v>1810</v>
      </c>
      <c r="H869" t="s">
        <v>1817</v>
      </c>
    </row>
    <row r="870" spans="1:8" x14ac:dyDescent="0.25">
      <c r="A870" t="s">
        <v>768</v>
      </c>
      <c r="B870" t="s">
        <v>1676</v>
      </c>
      <c r="C870" t="s">
        <v>1286</v>
      </c>
      <c r="D870" t="s">
        <v>871</v>
      </c>
      <c r="E870" t="s">
        <v>867</v>
      </c>
      <c r="F870" t="s">
        <v>849</v>
      </c>
      <c r="G870" t="s">
        <v>1806</v>
      </c>
      <c r="H870" t="s">
        <v>1817</v>
      </c>
    </row>
    <row r="871" spans="1:8" x14ac:dyDescent="0.25">
      <c r="A871" t="s">
        <v>2722</v>
      </c>
      <c r="B871" t="s">
        <v>1800</v>
      </c>
      <c r="C871" t="s">
        <v>1853</v>
      </c>
      <c r="D871" t="s">
        <v>846</v>
      </c>
      <c r="E871" t="s">
        <v>838</v>
      </c>
      <c r="F871" t="s">
        <v>837</v>
      </c>
      <c r="G871" t="s">
        <v>1810</v>
      </c>
      <c r="H871" t="s">
        <v>1817</v>
      </c>
    </row>
    <row r="872" spans="1:8" x14ac:dyDescent="0.25">
      <c r="A872" t="s">
        <v>769</v>
      </c>
      <c r="B872" t="s">
        <v>1800</v>
      </c>
      <c r="C872" t="s">
        <v>1853</v>
      </c>
      <c r="D872" t="s">
        <v>838</v>
      </c>
      <c r="E872" t="s">
        <v>846</v>
      </c>
      <c r="F872" t="s">
        <v>837</v>
      </c>
      <c r="G872" t="s">
        <v>1810</v>
      </c>
    </row>
    <row r="873" spans="1:8" x14ac:dyDescent="0.25">
      <c r="A873" t="s">
        <v>770</v>
      </c>
      <c r="B873" t="s">
        <v>1677</v>
      </c>
      <c r="C873" t="s">
        <v>865</v>
      </c>
      <c r="D873" t="s">
        <v>864</v>
      </c>
      <c r="E873" t="s">
        <v>863</v>
      </c>
      <c r="F873" t="s">
        <v>862</v>
      </c>
      <c r="G873" t="s">
        <v>1806</v>
      </c>
      <c r="H873" t="s">
        <v>1817</v>
      </c>
    </row>
    <row r="874" spans="1:8" x14ac:dyDescent="0.25">
      <c r="A874" t="s">
        <v>2723</v>
      </c>
      <c r="B874" t="s">
        <v>2724</v>
      </c>
      <c r="C874" t="s">
        <v>2318</v>
      </c>
      <c r="D874" t="s">
        <v>2319</v>
      </c>
      <c r="E874" t="s">
        <v>2320</v>
      </c>
      <c r="F874" t="s">
        <v>862</v>
      </c>
      <c r="G874" t="s">
        <v>1806</v>
      </c>
      <c r="H874" t="s">
        <v>1817</v>
      </c>
    </row>
    <row r="875" spans="1:8" x14ac:dyDescent="0.25">
      <c r="A875" t="s">
        <v>771</v>
      </c>
      <c r="B875" t="s">
        <v>1679</v>
      </c>
      <c r="C875" t="s">
        <v>1678</v>
      </c>
      <c r="D875" t="s">
        <v>1002</v>
      </c>
      <c r="E875" t="s">
        <v>968</v>
      </c>
      <c r="F875" t="s">
        <v>862</v>
      </c>
      <c r="G875" t="s">
        <v>1806</v>
      </c>
      <c r="H875" t="s">
        <v>1817</v>
      </c>
    </row>
    <row r="876" spans="1:8" x14ac:dyDescent="0.25">
      <c r="A876" t="s">
        <v>772</v>
      </c>
      <c r="B876" t="s">
        <v>1680</v>
      </c>
      <c r="C876" t="s">
        <v>1348</v>
      </c>
      <c r="D876" t="s">
        <v>1029</v>
      </c>
      <c r="E876" t="s">
        <v>867</v>
      </c>
      <c r="F876" t="s">
        <v>849</v>
      </c>
      <c r="G876" t="s">
        <v>1806</v>
      </c>
      <c r="H876" t="s">
        <v>1817</v>
      </c>
    </row>
    <row r="877" spans="1:8" x14ac:dyDescent="0.25">
      <c r="A877" t="s">
        <v>773</v>
      </c>
      <c r="B877" t="s">
        <v>1685</v>
      </c>
      <c r="C877" t="s">
        <v>1684</v>
      </c>
      <c r="D877" t="s">
        <v>1683</v>
      </c>
      <c r="E877" t="s">
        <v>1682</v>
      </c>
      <c r="F877" t="s">
        <v>1681</v>
      </c>
      <c r="G877" t="s">
        <v>1809</v>
      </c>
      <c r="H877" t="s">
        <v>1817</v>
      </c>
    </row>
    <row r="878" spans="1:8" x14ac:dyDescent="0.25">
      <c r="A878" t="s">
        <v>774</v>
      </c>
      <c r="B878" t="s">
        <v>1686</v>
      </c>
      <c r="C878" t="s">
        <v>1236</v>
      </c>
      <c r="D878" t="s">
        <v>1107</v>
      </c>
      <c r="E878" t="s">
        <v>838</v>
      </c>
      <c r="F878" t="s">
        <v>837</v>
      </c>
      <c r="G878" t="s">
        <v>1810</v>
      </c>
      <c r="H878" t="s">
        <v>1817</v>
      </c>
    </row>
    <row r="879" spans="1:8" x14ac:dyDescent="0.25">
      <c r="A879" t="s">
        <v>775</v>
      </c>
      <c r="B879" t="s">
        <v>1687</v>
      </c>
      <c r="C879" t="s">
        <v>1253</v>
      </c>
      <c r="D879" t="s">
        <v>1252</v>
      </c>
      <c r="E879" t="s">
        <v>867</v>
      </c>
      <c r="F879" t="s">
        <v>849</v>
      </c>
      <c r="G879" t="s">
        <v>1806</v>
      </c>
      <c r="H879" t="s">
        <v>1817</v>
      </c>
    </row>
    <row r="880" spans="1:8" x14ac:dyDescent="0.25">
      <c r="A880" t="s">
        <v>776</v>
      </c>
      <c r="B880" t="s">
        <v>1689</v>
      </c>
      <c r="C880" t="s">
        <v>1688</v>
      </c>
      <c r="D880" t="s">
        <v>900</v>
      </c>
      <c r="E880" t="s">
        <v>838</v>
      </c>
      <c r="F880" t="s">
        <v>837</v>
      </c>
      <c r="G880" t="s">
        <v>1810</v>
      </c>
      <c r="H880" t="s">
        <v>1817</v>
      </c>
    </row>
    <row r="881" spans="1:8" x14ac:dyDescent="0.25">
      <c r="A881" t="s">
        <v>2725</v>
      </c>
      <c r="B881" t="s">
        <v>1689</v>
      </c>
      <c r="C881" t="s">
        <v>1688</v>
      </c>
      <c r="D881" t="s">
        <v>900</v>
      </c>
      <c r="E881" t="s">
        <v>838</v>
      </c>
      <c r="F881" t="s">
        <v>837</v>
      </c>
      <c r="G881" t="s">
        <v>1810</v>
      </c>
      <c r="H881" t="s">
        <v>1817</v>
      </c>
    </row>
    <row r="882" spans="1:8" x14ac:dyDescent="0.25">
      <c r="A882" t="s">
        <v>777</v>
      </c>
      <c r="B882" t="s">
        <v>1689</v>
      </c>
      <c r="C882" t="s">
        <v>1688</v>
      </c>
      <c r="D882" t="s">
        <v>838</v>
      </c>
      <c r="E882" t="s">
        <v>900</v>
      </c>
      <c r="F882" t="s">
        <v>837</v>
      </c>
      <c r="G882" t="s">
        <v>1810</v>
      </c>
    </row>
    <row r="883" spans="1:8" x14ac:dyDescent="0.25">
      <c r="A883" t="s">
        <v>2788</v>
      </c>
      <c r="B883" t="s">
        <v>1689</v>
      </c>
      <c r="C883" t="s">
        <v>1688</v>
      </c>
      <c r="D883" t="s">
        <v>838</v>
      </c>
      <c r="E883" t="s">
        <v>900</v>
      </c>
      <c r="F883" t="s">
        <v>837</v>
      </c>
      <c r="G883" t="s">
        <v>1810</v>
      </c>
    </row>
    <row r="884" spans="1:8" x14ac:dyDescent="0.25">
      <c r="A884" t="s">
        <v>778</v>
      </c>
      <c r="B884" t="s">
        <v>1690</v>
      </c>
      <c r="C884" t="s">
        <v>973</v>
      </c>
      <c r="D884" t="s">
        <v>972</v>
      </c>
      <c r="E884" t="s">
        <v>968</v>
      </c>
      <c r="F884" t="s">
        <v>862</v>
      </c>
      <c r="G884" t="s">
        <v>1806</v>
      </c>
      <c r="H884" t="s">
        <v>1817</v>
      </c>
    </row>
    <row r="885" spans="1:8" x14ac:dyDescent="0.25">
      <c r="A885" t="s">
        <v>2726</v>
      </c>
      <c r="B885" t="s">
        <v>2727</v>
      </c>
      <c r="C885" t="s">
        <v>908</v>
      </c>
      <c r="D885" t="s">
        <v>907</v>
      </c>
      <c r="E885" t="s">
        <v>838</v>
      </c>
      <c r="F885" t="s">
        <v>837</v>
      </c>
      <c r="G885" t="s">
        <v>1810</v>
      </c>
      <c r="H885" t="s">
        <v>1817</v>
      </c>
    </row>
    <row r="886" spans="1:8" x14ac:dyDescent="0.25">
      <c r="A886" t="s">
        <v>779</v>
      </c>
      <c r="B886" t="s">
        <v>1691</v>
      </c>
      <c r="C886" t="s">
        <v>1348</v>
      </c>
      <c r="D886" t="s">
        <v>1029</v>
      </c>
      <c r="E886" t="s">
        <v>867</v>
      </c>
      <c r="F886" t="s">
        <v>849</v>
      </c>
      <c r="G886" t="s">
        <v>1806</v>
      </c>
      <c r="H886" t="s">
        <v>1817</v>
      </c>
    </row>
    <row r="887" spans="1:8" x14ac:dyDescent="0.25">
      <c r="A887" t="s">
        <v>2728</v>
      </c>
      <c r="B887" t="s">
        <v>2729</v>
      </c>
      <c r="C887" t="s">
        <v>1665</v>
      </c>
      <c r="D887" t="s">
        <v>846</v>
      </c>
      <c r="E887" t="s">
        <v>838</v>
      </c>
      <c r="F887" t="s">
        <v>837</v>
      </c>
      <c r="G887" t="s">
        <v>1810</v>
      </c>
      <c r="H887" t="s">
        <v>1817</v>
      </c>
    </row>
    <row r="888" spans="1:8" x14ac:dyDescent="0.25">
      <c r="A888" t="s">
        <v>780</v>
      </c>
      <c r="B888" t="s">
        <v>1693</v>
      </c>
      <c r="C888" t="s">
        <v>1692</v>
      </c>
      <c r="D888" t="s">
        <v>1029</v>
      </c>
      <c r="E888" t="s">
        <v>867</v>
      </c>
      <c r="F888" t="s">
        <v>849</v>
      </c>
      <c r="G888" t="s">
        <v>1806</v>
      </c>
      <c r="H888" t="s">
        <v>1819</v>
      </c>
    </row>
    <row r="889" spans="1:8" x14ac:dyDescent="0.25">
      <c r="A889" t="s">
        <v>781</v>
      </c>
      <c r="B889" t="s">
        <v>1695</v>
      </c>
      <c r="C889" t="s">
        <v>1694</v>
      </c>
      <c r="D889" t="s">
        <v>1182</v>
      </c>
      <c r="E889" t="s">
        <v>1124</v>
      </c>
      <c r="F889" t="s">
        <v>857</v>
      </c>
      <c r="G889" t="s">
        <v>1806</v>
      </c>
      <c r="H889" t="s">
        <v>1817</v>
      </c>
    </row>
    <row r="890" spans="1:8" x14ac:dyDescent="0.25">
      <c r="A890" t="s">
        <v>782</v>
      </c>
      <c r="B890" t="s">
        <v>1696</v>
      </c>
      <c r="C890" t="s">
        <v>931</v>
      </c>
      <c r="D890" t="s">
        <v>884</v>
      </c>
      <c r="E890" t="s">
        <v>867</v>
      </c>
      <c r="F890" t="s">
        <v>849</v>
      </c>
      <c r="G890" t="s">
        <v>1806</v>
      </c>
      <c r="H890" t="s">
        <v>1817</v>
      </c>
    </row>
    <row r="891" spans="1:8" x14ac:dyDescent="0.25">
      <c r="A891" t="s">
        <v>783</v>
      </c>
      <c r="B891" t="s">
        <v>1698</v>
      </c>
      <c r="C891" t="s">
        <v>1697</v>
      </c>
      <c r="D891" t="s">
        <v>1029</v>
      </c>
      <c r="E891" t="s">
        <v>867</v>
      </c>
      <c r="F891" t="s">
        <v>849</v>
      </c>
      <c r="G891" t="s">
        <v>1806</v>
      </c>
      <c r="H891" t="s">
        <v>1817</v>
      </c>
    </row>
    <row r="892" spans="1:8" x14ac:dyDescent="0.25">
      <c r="A892" t="s">
        <v>784</v>
      </c>
      <c r="B892" t="s">
        <v>1698</v>
      </c>
      <c r="C892" t="s">
        <v>1697</v>
      </c>
      <c r="D892" t="s">
        <v>1029</v>
      </c>
      <c r="E892" t="s">
        <v>867</v>
      </c>
      <c r="F892" t="s">
        <v>849</v>
      </c>
      <c r="G892" t="s">
        <v>1806</v>
      </c>
      <c r="H892" t="s">
        <v>1817</v>
      </c>
    </row>
    <row r="893" spans="1:8" x14ac:dyDescent="0.25">
      <c r="A893" t="s">
        <v>785</v>
      </c>
      <c r="B893" t="s">
        <v>1702</v>
      </c>
      <c r="C893" t="s">
        <v>1701</v>
      </c>
      <c r="D893" t="s">
        <v>1700</v>
      </c>
      <c r="E893" t="s">
        <v>1699</v>
      </c>
      <c r="F893" t="s">
        <v>978</v>
      </c>
      <c r="G893" t="s">
        <v>1809</v>
      </c>
      <c r="H893" t="s">
        <v>1817</v>
      </c>
    </row>
    <row r="894" spans="1:8" x14ac:dyDescent="0.25">
      <c r="A894" t="s">
        <v>2730</v>
      </c>
      <c r="B894" t="s">
        <v>2731</v>
      </c>
      <c r="C894" t="s">
        <v>954</v>
      </c>
      <c r="D894" t="s">
        <v>953</v>
      </c>
      <c r="E894" t="s">
        <v>838</v>
      </c>
      <c r="F894" t="s">
        <v>837</v>
      </c>
      <c r="G894" t="s">
        <v>1810</v>
      </c>
      <c r="H894" t="s">
        <v>1817</v>
      </c>
    </row>
    <row r="895" spans="1:8" x14ac:dyDescent="0.25">
      <c r="A895" t="s">
        <v>786</v>
      </c>
      <c r="B895" t="s">
        <v>1705</v>
      </c>
      <c r="C895" t="s">
        <v>1704</v>
      </c>
      <c r="D895" t="s">
        <v>1703</v>
      </c>
      <c r="E895" t="s">
        <v>863</v>
      </c>
      <c r="F895" t="s">
        <v>862</v>
      </c>
      <c r="G895" t="s">
        <v>1806</v>
      </c>
      <c r="H895" t="s">
        <v>1817</v>
      </c>
    </row>
    <row r="896" spans="1:8" x14ac:dyDescent="0.25">
      <c r="A896" t="s">
        <v>787</v>
      </c>
      <c r="B896" t="s">
        <v>1706</v>
      </c>
      <c r="C896" t="s">
        <v>1253</v>
      </c>
      <c r="D896" t="s">
        <v>1252</v>
      </c>
      <c r="E896" t="s">
        <v>867</v>
      </c>
      <c r="F896" t="s">
        <v>849</v>
      </c>
      <c r="G896" t="s">
        <v>1806</v>
      </c>
      <c r="H896" t="s">
        <v>1817</v>
      </c>
    </row>
    <row r="897" spans="1:8" x14ac:dyDescent="0.25">
      <c r="A897" t="s">
        <v>788</v>
      </c>
      <c r="B897" t="s">
        <v>1710</v>
      </c>
      <c r="C897" t="s">
        <v>1709</v>
      </c>
      <c r="D897" t="s">
        <v>1708</v>
      </c>
      <c r="E897" t="s">
        <v>1707</v>
      </c>
      <c r="F897" t="s">
        <v>978</v>
      </c>
      <c r="G897" t="s">
        <v>1809</v>
      </c>
      <c r="H897" t="s">
        <v>1817</v>
      </c>
    </row>
    <row r="898" spans="1:8" x14ac:dyDescent="0.25">
      <c r="A898" t="s">
        <v>789</v>
      </c>
      <c r="B898" t="s">
        <v>1710</v>
      </c>
      <c r="C898" t="s">
        <v>1709</v>
      </c>
      <c r="D898" t="s">
        <v>1708</v>
      </c>
      <c r="E898" t="s">
        <v>1707</v>
      </c>
      <c r="F898" t="s">
        <v>978</v>
      </c>
      <c r="G898" t="s">
        <v>1809</v>
      </c>
      <c r="H898" t="s">
        <v>1817</v>
      </c>
    </row>
    <row r="899" spans="1:8" x14ac:dyDescent="0.25">
      <c r="A899" t="s">
        <v>2732</v>
      </c>
      <c r="B899" t="s">
        <v>2733</v>
      </c>
      <c r="C899" t="s">
        <v>908</v>
      </c>
      <c r="D899" t="s">
        <v>907</v>
      </c>
      <c r="E899" t="s">
        <v>838</v>
      </c>
      <c r="F899" t="s">
        <v>837</v>
      </c>
      <c r="G899" t="s">
        <v>1810</v>
      </c>
      <c r="H899" t="s">
        <v>1817</v>
      </c>
    </row>
    <row r="900" spans="1:8" x14ac:dyDescent="0.25">
      <c r="A900" t="s">
        <v>2734</v>
      </c>
      <c r="B900" t="s">
        <v>2735</v>
      </c>
      <c r="C900" t="s">
        <v>2736</v>
      </c>
      <c r="D900" t="s">
        <v>2737</v>
      </c>
      <c r="E900" t="s">
        <v>2738</v>
      </c>
      <c r="F900" t="s">
        <v>2739</v>
      </c>
      <c r="G900" t="s">
        <v>2290</v>
      </c>
      <c r="H900" t="s">
        <v>1817</v>
      </c>
    </row>
    <row r="901" spans="1:8" x14ac:dyDescent="0.25">
      <c r="A901" t="s">
        <v>790</v>
      </c>
      <c r="B901" t="s">
        <v>1711</v>
      </c>
      <c r="C901" t="s">
        <v>1089</v>
      </c>
      <c r="D901" t="s">
        <v>1080</v>
      </c>
      <c r="E901" t="s">
        <v>923</v>
      </c>
      <c r="F901" t="s">
        <v>862</v>
      </c>
      <c r="G901" t="s">
        <v>1806</v>
      </c>
      <c r="H901" t="s">
        <v>1817</v>
      </c>
    </row>
    <row r="902" spans="1:8" x14ac:dyDescent="0.25">
      <c r="A902" t="s">
        <v>791</v>
      </c>
      <c r="B902" t="s">
        <v>1711</v>
      </c>
      <c r="C902" t="s">
        <v>1089</v>
      </c>
      <c r="D902" t="s">
        <v>1080</v>
      </c>
      <c r="E902" t="s">
        <v>923</v>
      </c>
      <c r="F902" t="s">
        <v>862</v>
      </c>
      <c r="G902" t="s">
        <v>1806</v>
      </c>
      <c r="H902" t="s">
        <v>1817</v>
      </c>
    </row>
    <row r="903" spans="1:8" x14ac:dyDescent="0.25">
      <c r="A903" t="s">
        <v>792</v>
      </c>
      <c r="B903" t="s">
        <v>1711</v>
      </c>
      <c r="C903" t="s">
        <v>1089</v>
      </c>
      <c r="D903" t="s">
        <v>1080</v>
      </c>
      <c r="E903" t="s">
        <v>923</v>
      </c>
      <c r="F903" t="s">
        <v>862</v>
      </c>
      <c r="G903" t="s">
        <v>1806</v>
      </c>
      <c r="H903" t="s">
        <v>1817</v>
      </c>
    </row>
    <row r="904" spans="1:8" x14ac:dyDescent="0.25">
      <c r="A904" t="s">
        <v>793</v>
      </c>
      <c r="B904" t="s">
        <v>1713</v>
      </c>
      <c r="C904" t="s">
        <v>1712</v>
      </c>
      <c r="D904" t="s">
        <v>1195</v>
      </c>
      <c r="E904" t="s">
        <v>880</v>
      </c>
      <c r="F904" t="s">
        <v>837</v>
      </c>
      <c r="G904" t="s">
        <v>1810</v>
      </c>
      <c r="H904" t="s">
        <v>1817</v>
      </c>
    </row>
    <row r="905" spans="1:8" x14ac:dyDescent="0.25">
      <c r="A905" t="s">
        <v>2740</v>
      </c>
      <c r="B905" t="s">
        <v>2741</v>
      </c>
      <c r="C905" t="s">
        <v>1240</v>
      </c>
      <c r="D905" t="s">
        <v>1239</v>
      </c>
      <c r="E905" t="s">
        <v>838</v>
      </c>
      <c r="F905" t="s">
        <v>837</v>
      </c>
      <c r="G905" t="s">
        <v>1810</v>
      </c>
      <c r="H905" t="s">
        <v>1817</v>
      </c>
    </row>
    <row r="906" spans="1:8" x14ac:dyDescent="0.25">
      <c r="A906" t="s">
        <v>794</v>
      </c>
      <c r="B906" t="s">
        <v>1714</v>
      </c>
      <c r="C906" t="s">
        <v>893</v>
      </c>
      <c r="D906" t="s">
        <v>868</v>
      </c>
      <c r="E906" t="s">
        <v>867</v>
      </c>
      <c r="F906" t="s">
        <v>849</v>
      </c>
      <c r="G906" t="s">
        <v>1806</v>
      </c>
      <c r="H906" t="s">
        <v>1817</v>
      </c>
    </row>
    <row r="907" spans="1:8" x14ac:dyDescent="0.25">
      <c r="A907" t="s">
        <v>2742</v>
      </c>
      <c r="B907" t="s">
        <v>2743</v>
      </c>
      <c r="C907" t="s">
        <v>1763</v>
      </c>
      <c r="D907" t="s">
        <v>1762</v>
      </c>
      <c r="E907" t="s">
        <v>838</v>
      </c>
      <c r="F907" t="s">
        <v>837</v>
      </c>
      <c r="G907" t="s">
        <v>1810</v>
      </c>
      <c r="H907" t="s">
        <v>1817</v>
      </c>
    </row>
    <row r="908" spans="1:8" x14ac:dyDescent="0.25">
      <c r="A908" t="s">
        <v>795</v>
      </c>
      <c r="B908" t="s">
        <v>1716</v>
      </c>
      <c r="C908" t="s">
        <v>1715</v>
      </c>
      <c r="D908" t="s">
        <v>1075</v>
      </c>
      <c r="E908" t="s">
        <v>889</v>
      </c>
      <c r="F908" t="s">
        <v>862</v>
      </c>
      <c r="G908" t="s">
        <v>1806</v>
      </c>
      <c r="H908" t="s">
        <v>1817</v>
      </c>
    </row>
    <row r="909" spans="1:8" x14ac:dyDescent="0.25">
      <c r="A909" t="s">
        <v>796</v>
      </c>
      <c r="B909" t="s">
        <v>1718</v>
      </c>
      <c r="C909" t="s">
        <v>1717</v>
      </c>
      <c r="D909" t="s">
        <v>1533</v>
      </c>
      <c r="E909" t="s">
        <v>968</v>
      </c>
      <c r="F909" t="s">
        <v>862</v>
      </c>
      <c r="G909" t="s">
        <v>1806</v>
      </c>
      <c r="H909" t="s">
        <v>1817</v>
      </c>
    </row>
    <row r="910" spans="1:8" x14ac:dyDescent="0.25">
      <c r="A910" t="s">
        <v>797</v>
      </c>
      <c r="B910" t="s">
        <v>1719</v>
      </c>
      <c r="C910" t="s">
        <v>1103</v>
      </c>
      <c r="D910" t="s">
        <v>854</v>
      </c>
      <c r="E910" t="s">
        <v>838</v>
      </c>
      <c r="F910" t="s">
        <v>837</v>
      </c>
      <c r="G910" t="s">
        <v>1810</v>
      </c>
      <c r="H910" t="s">
        <v>1817</v>
      </c>
    </row>
    <row r="911" spans="1:8" x14ac:dyDescent="0.25">
      <c r="A911" t="s">
        <v>798</v>
      </c>
      <c r="B911" t="s">
        <v>1721</v>
      </c>
      <c r="C911" t="s">
        <v>1720</v>
      </c>
      <c r="D911" t="s">
        <v>884</v>
      </c>
      <c r="E911" t="s">
        <v>867</v>
      </c>
      <c r="F911" t="s">
        <v>849</v>
      </c>
      <c r="G911" t="s">
        <v>1806</v>
      </c>
      <c r="H911" t="s">
        <v>1817</v>
      </c>
    </row>
    <row r="912" spans="1:8" x14ac:dyDescent="0.25">
      <c r="A912" t="s">
        <v>799</v>
      </c>
      <c r="B912" t="s">
        <v>1722</v>
      </c>
      <c r="C912" t="s">
        <v>1348</v>
      </c>
      <c r="D912" t="s">
        <v>1029</v>
      </c>
      <c r="E912" t="s">
        <v>867</v>
      </c>
      <c r="F912" t="s">
        <v>849</v>
      </c>
      <c r="G912" t="s">
        <v>1806</v>
      </c>
      <c r="H912" t="s">
        <v>1817</v>
      </c>
    </row>
    <row r="913" spans="1:8" x14ac:dyDescent="0.25">
      <c r="A913" t="s">
        <v>800</v>
      </c>
      <c r="B913" t="s">
        <v>1724</v>
      </c>
      <c r="C913" t="s">
        <v>1723</v>
      </c>
      <c r="D913" t="s">
        <v>1178</v>
      </c>
      <c r="E913" t="s">
        <v>919</v>
      </c>
      <c r="F913" t="s">
        <v>918</v>
      </c>
      <c r="G913" t="s">
        <v>1806</v>
      </c>
      <c r="H913" t="s">
        <v>1817</v>
      </c>
    </row>
    <row r="914" spans="1:8" x14ac:dyDescent="0.25">
      <c r="A914" t="s">
        <v>801</v>
      </c>
      <c r="B914" t="s">
        <v>1726</v>
      </c>
      <c r="C914" t="s">
        <v>1725</v>
      </c>
      <c r="D914" t="s">
        <v>915</v>
      </c>
      <c r="E914" t="s">
        <v>880</v>
      </c>
      <c r="F914" t="s">
        <v>837</v>
      </c>
      <c r="G914" t="s">
        <v>1810</v>
      </c>
      <c r="H914" t="s">
        <v>1817</v>
      </c>
    </row>
    <row r="915" spans="1:8" x14ac:dyDescent="0.25">
      <c r="A915" t="s">
        <v>802</v>
      </c>
      <c r="B915" t="s">
        <v>1726</v>
      </c>
      <c r="C915" t="s">
        <v>1725</v>
      </c>
      <c r="D915" t="s">
        <v>915</v>
      </c>
      <c r="E915" t="s">
        <v>880</v>
      </c>
      <c r="F915" t="s">
        <v>837</v>
      </c>
      <c r="G915" t="s">
        <v>1810</v>
      </c>
      <c r="H915" t="s">
        <v>1817</v>
      </c>
    </row>
    <row r="916" spans="1:8" x14ac:dyDescent="0.25">
      <c r="A916" t="s">
        <v>803</v>
      </c>
      <c r="B916" t="s">
        <v>1727</v>
      </c>
      <c r="C916" t="s">
        <v>843</v>
      </c>
      <c r="D916" t="s">
        <v>842</v>
      </c>
      <c r="E916" t="s">
        <v>838</v>
      </c>
      <c r="F916" t="s">
        <v>837</v>
      </c>
      <c r="G916" t="s">
        <v>1810</v>
      </c>
      <c r="H916" t="s">
        <v>1817</v>
      </c>
    </row>
    <row r="917" spans="1:8" x14ac:dyDescent="0.25">
      <c r="A917" t="s">
        <v>804</v>
      </c>
      <c r="B917" t="s">
        <v>1727</v>
      </c>
      <c r="C917" t="s">
        <v>843</v>
      </c>
      <c r="D917" t="s">
        <v>842</v>
      </c>
      <c r="E917" t="s">
        <v>838</v>
      </c>
      <c r="F917" t="s">
        <v>837</v>
      </c>
      <c r="G917" t="s">
        <v>1810</v>
      </c>
      <c r="H917" t="s">
        <v>1817</v>
      </c>
    </row>
    <row r="918" spans="1:8" x14ac:dyDescent="0.25">
      <c r="A918" t="s">
        <v>2744</v>
      </c>
      <c r="B918" t="s">
        <v>2745</v>
      </c>
      <c r="C918" t="s">
        <v>2746</v>
      </c>
      <c r="D918" t="s">
        <v>963</v>
      </c>
      <c r="E918" t="s">
        <v>838</v>
      </c>
      <c r="F918" t="s">
        <v>837</v>
      </c>
      <c r="G918" t="s">
        <v>1810</v>
      </c>
      <c r="H918" t="s">
        <v>1817</v>
      </c>
    </row>
    <row r="919" spans="1:8" x14ac:dyDescent="0.25">
      <c r="A919" t="s">
        <v>805</v>
      </c>
      <c r="B919" t="s">
        <v>1731</v>
      </c>
      <c r="C919" t="s">
        <v>1730</v>
      </c>
      <c r="D919" t="s">
        <v>1729</v>
      </c>
      <c r="E919" t="s">
        <v>1728</v>
      </c>
      <c r="F919" t="s">
        <v>1167</v>
      </c>
      <c r="G919" t="s">
        <v>1808</v>
      </c>
      <c r="H919" t="s">
        <v>1817</v>
      </c>
    </row>
    <row r="920" spans="1:8" x14ac:dyDescent="0.25">
      <c r="A920" t="s">
        <v>806</v>
      </c>
      <c r="B920" t="s">
        <v>1732</v>
      </c>
      <c r="C920" t="s">
        <v>1303</v>
      </c>
      <c r="D920" t="s">
        <v>1029</v>
      </c>
      <c r="E920" t="s">
        <v>867</v>
      </c>
      <c r="F920" t="s">
        <v>849</v>
      </c>
      <c r="G920" t="s">
        <v>1806</v>
      </c>
      <c r="H920" t="s">
        <v>1817</v>
      </c>
    </row>
    <row r="921" spans="1:8" x14ac:dyDescent="0.25">
      <c r="A921" t="s">
        <v>2747</v>
      </c>
      <c r="B921" t="s">
        <v>2748</v>
      </c>
      <c r="C921" t="s">
        <v>2749</v>
      </c>
      <c r="D921" t="s">
        <v>1700</v>
      </c>
      <c r="E921" t="s">
        <v>1699</v>
      </c>
      <c r="F921" t="s">
        <v>978</v>
      </c>
      <c r="G921" t="s">
        <v>1809</v>
      </c>
      <c r="H921" t="s">
        <v>1817</v>
      </c>
    </row>
    <row r="922" spans="1:8" x14ac:dyDescent="0.25">
      <c r="A922" t="s">
        <v>2750</v>
      </c>
      <c r="B922" t="s">
        <v>2751</v>
      </c>
      <c r="C922" t="s">
        <v>2752</v>
      </c>
      <c r="D922" t="s">
        <v>2753</v>
      </c>
      <c r="E922" t="s">
        <v>858</v>
      </c>
      <c r="F922" t="s">
        <v>857</v>
      </c>
      <c r="G922" t="s">
        <v>1806</v>
      </c>
      <c r="H922" t="s">
        <v>1817</v>
      </c>
    </row>
    <row r="923" spans="1:8" x14ac:dyDescent="0.25">
      <c r="A923" t="s">
        <v>2754</v>
      </c>
      <c r="B923" t="s">
        <v>2755</v>
      </c>
      <c r="C923" t="s">
        <v>2756</v>
      </c>
      <c r="D923" t="s">
        <v>2757</v>
      </c>
      <c r="E923" t="s">
        <v>1699</v>
      </c>
      <c r="F923" t="s">
        <v>978</v>
      </c>
      <c r="G923" t="s">
        <v>1809</v>
      </c>
      <c r="H923" t="s">
        <v>1817</v>
      </c>
    </row>
    <row r="924" spans="1:8" x14ac:dyDescent="0.25">
      <c r="A924" t="s">
        <v>807</v>
      </c>
      <c r="B924" t="s">
        <v>1733</v>
      </c>
      <c r="C924" t="s">
        <v>843</v>
      </c>
      <c r="D924" t="s">
        <v>842</v>
      </c>
      <c r="E924" t="s">
        <v>838</v>
      </c>
      <c r="F924" t="s">
        <v>837</v>
      </c>
      <c r="G924" t="s">
        <v>1810</v>
      </c>
      <c r="H924" t="s">
        <v>1817</v>
      </c>
    </row>
    <row r="925" spans="1:8" x14ac:dyDescent="0.25">
      <c r="A925" t="s">
        <v>808</v>
      </c>
      <c r="B925" t="s">
        <v>1733</v>
      </c>
      <c r="C925" t="s">
        <v>843</v>
      </c>
      <c r="D925" t="s">
        <v>842</v>
      </c>
      <c r="E925" t="s">
        <v>838</v>
      </c>
      <c r="F925" t="s">
        <v>837</v>
      </c>
      <c r="G925" t="s">
        <v>1810</v>
      </c>
      <c r="H925" t="s">
        <v>1817</v>
      </c>
    </row>
    <row r="926" spans="1:8" x14ac:dyDescent="0.25">
      <c r="A926" t="s">
        <v>2758</v>
      </c>
      <c r="B926" t="s">
        <v>1733</v>
      </c>
      <c r="C926" t="s">
        <v>843</v>
      </c>
      <c r="D926" t="s">
        <v>842</v>
      </c>
      <c r="E926" t="s">
        <v>838</v>
      </c>
      <c r="F926" t="s">
        <v>837</v>
      </c>
      <c r="G926" t="s">
        <v>1810</v>
      </c>
      <c r="H926" t="s">
        <v>1817</v>
      </c>
    </row>
    <row r="927" spans="1:8" x14ac:dyDescent="0.25">
      <c r="A927" t="s">
        <v>809</v>
      </c>
      <c r="B927" t="s">
        <v>1736</v>
      </c>
      <c r="C927" t="s">
        <v>1735</v>
      </c>
      <c r="D927" t="s">
        <v>1734</v>
      </c>
      <c r="E927" t="s">
        <v>850</v>
      </c>
      <c r="F927" t="s">
        <v>849</v>
      </c>
      <c r="G927" t="s">
        <v>1806</v>
      </c>
      <c r="H927" t="s">
        <v>1817</v>
      </c>
    </row>
    <row r="928" spans="1:8" x14ac:dyDescent="0.25">
      <c r="A928" t="s">
        <v>810</v>
      </c>
      <c r="B928" t="s">
        <v>1739</v>
      </c>
      <c r="C928" t="s">
        <v>1738</v>
      </c>
      <c r="D928" t="s">
        <v>1737</v>
      </c>
      <c r="E928" t="s">
        <v>1066</v>
      </c>
      <c r="F928" t="s">
        <v>1065</v>
      </c>
      <c r="G928" t="s">
        <v>1809</v>
      </c>
      <c r="H928" t="s">
        <v>1817</v>
      </c>
    </row>
    <row r="929" spans="1:8" x14ac:dyDescent="0.25">
      <c r="A929" t="s">
        <v>811</v>
      </c>
      <c r="B929" t="s">
        <v>1741</v>
      </c>
      <c r="C929" t="s">
        <v>1740</v>
      </c>
      <c r="D929" t="s">
        <v>928</v>
      </c>
      <c r="E929" t="s">
        <v>867</v>
      </c>
      <c r="F929" t="s">
        <v>849</v>
      </c>
      <c r="G929" t="s">
        <v>1806</v>
      </c>
      <c r="H929" t="s">
        <v>1817</v>
      </c>
    </row>
    <row r="930" spans="1:8" x14ac:dyDescent="0.25">
      <c r="A930" t="s">
        <v>812</v>
      </c>
      <c r="B930" t="s">
        <v>1742</v>
      </c>
      <c r="C930" t="s">
        <v>1740</v>
      </c>
      <c r="D930" t="s">
        <v>928</v>
      </c>
      <c r="E930" t="s">
        <v>867</v>
      </c>
      <c r="F930" t="s">
        <v>849</v>
      </c>
      <c r="G930" t="s">
        <v>1806</v>
      </c>
      <c r="H930" t="s">
        <v>1817</v>
      </c>
    </row>
    <row r="931" spans="1:8" x14ac:dyDescent="0.25">
      <c r="A931" t="s">
        <v>813</v>
      </c>
      <c r="B931" t="s">
        <v>1743</v>
      </c>
      <c r="C931" t="s">
        <v>1046</v>
      </c>
      <c r="D931" t="s">
        <v>1045</v>
      </c>
      <c r="E931" t="s">
        <v>968</v>
      </c>
      <c r="F931" t="s">
        <v>862</v>
      </c>
      <c r="G931" t="s">
        <v>1806</v>
      </c>
      <c r="H931" t="s">
        <v>1817</v>
      </c>
    </row>
    <row r="932" spans="1:8" x14ac:dyDescent="0.25">
      <c r="A932" t="s">
        <v>814</v>
      </c>
      <c r="B932" t="s">
        <v>1744</v>
      </c>
      <c r="C932" t="s">
        <v>1201</v>
      </c>
      <c r="D932" t="s">
        <v>1200</v>
      </c>
      <c r="E932" t="s">
        <v>880</v>
      </c>
      <c r="F932" t="s">
        <v>837</v>
      </c>
      <c r="G932" t="s">
        <v>1810</v>
      </c>
      <c r="H932" t="s">
        <v>1817</v>
      </c>
    </row>
    <row r="933" spans="1:8" x14ac:dyDescent="0.25">
      <c r="A933" t="s">
        <v>815</v>
      </c>
      <c r="B933" t="s">
        <v>1744</v>
      </c>
      <c r="C933" t="s">
        <v>1201</v>
      </c>
      <c r="D933" t="s">
        <v>1200</v>
      </c>
      <c r="E933" t="s">
        <v>880</v>
      </c>
      <c r="F933" t="s">
        <v>837</v>
      </c>
      <c r="G933" t="s">
        <v>1810</v>
      </c>
      <c r="H933" t="s">
        <v>1817</v>
      </c>
    </row>
    <row r="934" spans="1:8" x14ac:dyDescent="0.25">
      <c r="A934" t="s">
        <v>816</v>
      </c>
      <c r="B934" t="s">
        <v>1745</v>
      </c>
      <c r="C934" t="s">
        <v>929</v>
      </c>
      <c r="D934" t="s">
        <v>928</v>
      </c>
      <c r="E934" t="s">
        <v>867</v>
      </c>
      <c r="F934" t="s">
        <v>849</v>
      </c>
      <c r="G934" t="s">
        <v>1806</v>
      </c>
      <c r="H934" t="s">
        <v>1817</v>
      </c>
    </row>
    <row r="935" spans="1:8" x14ac:dyDescent="0.25">
      <c r="A935" t="s">
        <v>2759</v>
      </c>
      <c r="B935" t="s">
        <v>1801</v>
      </c>
      <c r="C935" t="s">
        <v>2760</v>
      </c>
      <c r="D935" t="s">
        <v>2761</v>
      </c>
      <c r="E935" t="s">
        <v>2762</v>
      </c>
      <c r="F935" t="s">
        <v>2739</v>
      </c>
      <c r="G935" t="s">
        <v>2290</v>
      </c>
      <c r="H935" t="s">
        <v>1817</v>
      </c>
    </row>
    <row r="936" spans="1:8" x14ac:dyDescent="0.25">
      <c r="A936" t="s">
        <v>2784</v>
      </c>
      <c r="B936" t="s">
        <v>1746</v>
      </c>
      <c r="C936" t="s">
        <v>908</v>
      </c>
      <c r="D936" t="s">
        <v>907</v>
      </c>
      <c r="E936" t="s">
        <v>838</v>
      </c>
      <c r="F936" t="s">
        <v>837</v>
      </c>
      <c r="G936" t="s">
        <v>1810</v>
      </c>
      <c r="H936" t="s">
        <v>1820</v>
      </c>
    </row>
    <row r="937" spans="1:8" x14ac:dyDescent="0.25">
      <c r="A937" t="s">
        <v>817</v>
      </c>
      <c r="B937" t="s">
        <v>1746</v>
      </c>
      <c r="C937" t="s">
        <v>908</v>
      </c>
      <c r="D937" t="s">
        <v>907</v>
      </c>
      <c r="E937" t="s">
        <v>838</v>
      </c>
      <c r="F937" t="s">
        <v>837</v>
      </c>
      <c r="G937" t="s">
        <v>1810</v>
      </c>
      <c r="H937" t="s">
        <v>1817</v>
      </c>
    </row>
    <row r="938" spans="1:8" x14ac:dyDescent="0.25">
      <c r="A938" t="s">
        <v>818</v>
      </c>
      <c r="B938" t="s">
        <v>1746</v>
      </c>
      <c r="C938" t="s">
        <v>908</v>
      </c>
      <c r="D938" t="s">
        <v>907</v>
      </c>
      <c r="E938" t="s">
        <v>838</v>
      </c>
      <c r="F938" t="s">
        <v>837</v>
      </c>
      <c r="G938" t="s">
        <v>1810</v>
      </c>
      <c r="H938" t="s">
        <v>1817</v>
      </c>
    </row>
    <row r="939" spans="1:8" x14ac:dyDescent="0.25">
      <c r="A939" t="s">
        <v>819</v>
      </c>
      <c r="B939" t="s">
        <v>1746</v>
      </c>
      <c r="C939" t="s">
        <v>908</v>
      </c>
      <c r="D939" t="s">
        <v>907</v>
      </c>
      <c r="E939" t="s">
        <v>838</v>
      </c>
      <c r="F939" t="s">
        <v>837</v>
      </c>
      <c r="G939" t="s">
        <v>1810</v>
      </c>
      <c r="H939" t="s">
        <v>1817</v>
      </c>
    </row>
    <row r="940" spans="1:8" x14ac:dyDescent="0.25">
      <c r="A940" t="s">
        <v>820</v>
      </c>
      <c r="B940" t="s">
        <v>1746</v>
      </c>
      <c r="C940" t="s">
        <v>908</v>
      </c>
      <c r="D940" t="s">
        <v>907</v>
      </c>
      <c r="E940" t="s">
        <v>838</v>
      </c>
      <c r="F940" t="s">
        <v>837</v>
      </c>
      <c r="G940" t="s">
        <v>1810</v>
      </c>
      <c r="H940" t="s">
        <v>1817</v>
      </c>
    </row>
    <row r="941" spans="1:8" x14ac:dyDescent="0.25">
      <c r="A941" t="s">
        <v>2763</v>
      </c>
      <c r="B941" t="s">
        <v>1749</v>
      </c>
      <c r="C941" t="s">
        <v>1748</v>
      </c>
      <c r="D941" t="s">
        <v>1747</v>
      </c>
      <c r="E941" t="s">
        <v>875</v>
      </c>
      <c r="F941" t="s">
        <v>874</v>
      </c>
      <c r="G941" t="s">
        <v>1807</v>
      </c>
      <c r="H941" t="s">
        <v>1817</v>
      </c>
    </row>
    <row r="942" spans="1:8" x14ac:dyDescent="0.25">
      <c r="A942" t="s">
        <v>821</v>
      </c>
      <c r="B942" t="s">
        <v>1749</v>
      </c>
      <c r="C942" t="s">
        <v>1748</v>
      </c>
      <c r="D942" t="s">
        <v>1747</v>
      </c>
      <c r="E942" t="s">
        <v>875</v>
      </c>
      <c r="F942" t="s">
        <v>874</v>
      </c>
      <c r="G942" t="s">
        <v>1807</v>
      </c>
      <c r="H942" t="s">
        <v>1817</v>
      </c>
    </row>
    <row r="943" spans="1:8" x14ac:dyDescent="0.25">
      <c r="A943" t="s">
        <v>822</v>
      </c>
      <c r="B943" t="s">
        <v>1749</v>
      </c>
      <c r="C943" t="s">
        <v>1748</v>
      </c>
      <c r="D943" t="s">
        <v>1747</v>
      </c>
      <c r="E943" t="s">
        <v>875</v>
      </c>
      <c r="F943" t="s">
        <v>874</v>
      </c>
      <c r="G943" t="s">
        <v>1807</v>
      </c>
      <c r="H943" t="s">
        <v>1817</v>
      </c>
    </row>
    <row r="944" spans="1:8" x14ac:dyDescent="0.25">
      <c r="A944" t="s">
        <v>823</v>
      </c>
      <c r="B944" t="s">
        <v>1751</v>
      </c>
      <c r="C944" t="s">
        <v>1750</v>
      </c>
      <c r="D944" t="s">
        <v>1207</v>
      </c>
      <c r="E944" t="s">
        <v>1206</v>
      </c>
      <c r="F944" t="s">
        <v>862</v>
      </c>
      <c r="G944" t="s">
        <v>1806</v>
      </c>
      <c r="H944" t="s">
        <v>1817</v>
      </c>
    </row>
    <row r="945" spans="1:8" x14ac:dyDescent="0.25">
      <c r="A945" t="s">
        <v>824</v>
      </c>
      <c r="B945" t="s">
        <v>1752</v>
      </c>
      <c r="C945" t="s">
        <v>936</v>
      </c>
      <c r="D945" t="s">
        <v>884</v>
      </c>
      <c r="E945" t="s">
        <v>867</v>
      </c>
      <c r="F945" t="s">
        <v>849</v>
      </c>
      <c r="G945" t="s">
        <v>1806</v>
      </c>
      <c r="H945" t="s">
        <v>1819</v>
      </c>
    </row>
    <row r="946" spans="1:8" x14ac:dyDescent="0.25">
      <c r="A946" t="s">
        <v>2764</v>
      </c>
      <c r="B946" t="s">
        <v>2765</v>
      </c>
      <c r="C946" t="s">
        <v>1748</v>
      </c>
      <c r="D946" t="s">
        <v>1747</v>
      </c>
      <c r="E946" t="s">
        <v>875</v>
      </c>
      <c r="F946" t="s">
        <v>874</v>
      </c>
      <c r="G946" t="s">
        <v>1807</v>
      </c>
      <c r="H946" t="s">
        <v>1817</v>
      </c>
    </row>
    <row r="947" spans="1:8" x14ac:dyDescent="0.25">
      <c r="A947" t="s">
        <v>825</v>
      </c>
      <c r="B947" t="s">
        <v>1802</v>
      </c>
      <c r="D947" t="s">
        <v>1604</v>
      </c>
      <c r="E947" t="s">
        <v>1605</v>
      </c>
      <c r="F947" t="s">
        <v>874</v>
      </c>
      <c r="G947" t="s">
        <v>1807</v>
      </c>
    </row>
    <row r="948" spans="1:8" x14ac:dyDescent="0.25">
      <c r="A948" t="s">
        <v>826</v>
      </c>
      <c r="B948" t="s">
        <v>1753</v>
      </c>
      <c r="C948" t="s">
        <v>882</v>
      </c>
      <c r="D948" t="s">
        <v>881</v>
      </c>
      <c r="E948" t="s">
        <v>880</v>
      </c>
      <c r="F948" t="s">
        <v>837</v>
      </c>
      <c r="G948" t="s">
        <v>1810</v>
      </c>
      <c r="H948" t="s">
        <v>1817</v>
      </c>
    </row>
    <row r="949" spans="1:8" x14ac:dyDescent="0.25">
      <c r="A949" t="s">
        <v>827</v>
      </c>
      <c r="B949" t="s">
        <v>1753</v>
      </c>
      <c r="C949" t="s">
        <v>882</v>
      </c>
      <c r="D949" t="s">
        <v>881</v>
      </c>
      <c r="E949" t="s">
        <v>880</v>
      </c>
      <c r="F949" t="s">
        <v>837</v>
      </c>
      <c r="G949" t="s">
        <v>1810</v>
      </c>
      <c r="H949" t="s">
        <v>1817</v>
      </c>
    </row>
    <row r="950" spans="1:8" x14ac:dyDescent="0.25">
      <c r="A950" t="s">
        <v>828</v>
      </c>
      <c r="B950" t="s">
        <v>1753</v>
      </c>
      <c r="C950" t="s">
        <v>882</v>
      </c>
      <c r="D950" t="s">
        <v>881</v>
      </c>
      <c r="E950" t="s">
        <v>880</v>
      </c>
      <c r="F950" t="s">
        <v>837</v>
      </c>
      <c r="G950" t="s">
        <v>1810</v>
      </c>
      <c r="H950" t="s">
        <v>1817</v>
      </c>
    </row>
    <row r="951" spans="1:8" x14ac:dyDescent="0.25">
      <c r="A951" t="s">
        <v>829</v>
      </c>
      <c r="B951" t="s">
        <v>1754</v>
      </c>
      <c r="C951" t="s">
        <v>1011</v>
      </c>
      <c r="D951" t="s">
        <v>884</v>
      </c>
      <c r="E951" t="s">
        <v>867</v>
      </c>
      <c r="F951" t="s">
        <v>849</v>
      </c>
      <c r="G951" t="s">
        <v>1806</v>
      </c>
      <c r="H951" t="s">
        <v>1817</v>
      </c>
    </row>
    <row r="952" spans="1:8" x14ac:dyDescent="0.25">
      <c r="A952" t="s">
        <v>830</v>
      </c>
      <c r="B952" t="s">
        <v>1755</v>
      </c>
      <c r="C952" t="s">
        <v>999</v>
      </c>
      <c r="D952" t="s">
        <v>924</v>
      </c>
      <c r="E952" t="s">
        <v>923</v>
      </c>
      <c r="F952" t="s">
        <v>862</v>
      </c>
      <c r="G952" t="s">
        <v>1806</v>
      </c>
      <c r="H952" t="s">
        <v>1817</v>
      </c>
    </row>
    <row r="953" spans="1:8" x14ac:dyDescent="0.25">
      <c r="A953" t="s">
        <v>831</v>
      </c>
      <c r="B953" t="s">
        <v>1756</v>
      </c>
      <c r="C953" t="s">
        <v>1112</v>
      </c>
      <c r="D953" t="s">
        <v>1111</v>
      </c>
      <c r="E953" t="s">
        <v>880</v>
      </c>
      <c r="F953" t="s">
        <v>837</v>
      </c>
      <c r="G953" t="s">
        <v>1810</v>
      </c>
      <c r="H953" t="s">
        <v>1817</v>
      </c>
    </row>
    <row r="954" spans="1:8" x14ac:dyDescent="0.25">
      <c r="A954" t="s">
        <v>832</v>
      </c>
      <c r="B954" t="s">
        <v>1757</v>
      </c>
      <c r="C954" t="s">
        <v>916</v>
      </c>
      <c r="D954" t="s">
        <v>915</v>
      </c>
      <c r="E954" t="s">
        <v>880</v>
      </c>
      <c r="F954" t="s">
        <v>837</v>
      </c>
      <c r="G954" t="s">
        <v>1810</v>
      </c>
      <c r="H954" t="s">
        <v>1817</v>
      </c>
    </row>
    <row r="955" spans="1:8" x14ac:dyDescent="0.25">
      <c r="A955" t="s">
        <v>833</v>
      </c>
      <c r="B955" t="s">
        <v>1759</v>
      </c>
      <c r="C955" t="s">
        <v>1758</v>
      </c>
      <c r="D955" t="s">
        <v>1029</v>
      </c>
      <c r="E955" t="s">
        <v>867</v>
      </c>
      <c r="F955" t="s">
        <v>849</v>
      </c>
      <c r="G955" t="s">
        <v>1806</v>
      </c>
      <c r="H955" t="s">
        <v>1817</v>
      </c>
    </row>
    <row r="956" spans="1:8" x14ac:dyDescent="0.25">
      <c r="A956" t="s">
        <v>834</v>
      </c>
      <c r="B956" t="s">
        <v>1760</v>
      </c>
      <c r="C956" t="s">
        <v>1114</v>
      </c>
      <c r="D956" t="s">
        <v>963</v>
      </c>
      <c r="E956" t="s">
        <v>838</v>
      </c>
      <c r="F956" t="s">
        <v>837</v>
      </c>
      <c r="G956" t="s">
        <v>1810</v>
      </c>
      <c r="H956" t="s">
        <v>1817</v>
      </c>
    </row>
    <row r="957" spans="1:8" x14ac:dyDescent="0.25">
      <c r="A957" t="s">
        <v>2766</v>
      </c>
      <c r="B957" t="s">
        <v>2767</v>
      </c>
      <c r="C957" t="s">
        <v>2768</v>
      </c>
      <c r="D957" t="s">
        <v>1111</v>
      </c>
      <c r="E957" t="s">
        <v>880</v>
      </c>
      <c r="F957" t="s">
        <v>837</v>
      </c>
      <c r="G957" t="s">
        <v>1810</v>
      </c>
      <c r="H957" t="s">
        <v>1817</v>
      </c>
    </row>
    <row r="958" spans="1:8" x14ac:dyDescent="0.25">
      <c r="A958" t="s">
        <v>835</v>
      </c>
      <c r="B958" t="s">
        <v>1761</v>
      </c>
      <c r="C958" t="s">
        <v>1011</v>
      </c>
      <c r="D958" t="s">
        <v>884</v>
      </c>
      <c r="E958" t="s">
        <v>867</v>
      </c>
      <c r="F958" t="s">
        <v>849</v>
      </c>
      <c r="G958" t="s">
        <v>1806</v>
      </c>
      <c r="H958" t="s">
        <v>1817</v>
      </c>
    </row>
    <row r="959" spans="1:8" x14ac:dyDescent="0.25">
      <c r="A959" t="s">
        <v>836</v>
      </c>
      <c r="B959" t="s">
        <v>1764</v>
      </c>
      <c r="C959" t="s">
        <v>1763</v>
      </c>
      <c r="D959" t="s">
        <v>1762</v>
      </c>
      <c r="E959" t="s">
        <v>838</v>
      </c>
      <c r="F959" t="s">
        <v>837</v>
      </c>
      <c r="G959" t="s">
        <v>1810</v>
      </c>
      <c r="H959" t="s">
        <v>1817</v>
      </c>
    </row>
  </sheetData>
  <sheetProtection algorithmName="SHA-512" hashValue="7ozCWUWFgf/Cdn1k2M+aRh336VsvN4xbv29v7yFhLj7ZhVa/4bhot3aVEZNmIQaxaOXFWMyVig1WfI21611ZZg==" saltValue="88UwsfRKdzbNE9rDUpo2Vw==" spinCount="100000" sheet="1" objects="1" scenarios="1" selectLockedCells="1" selectUnlockedCells="1"/>
  <autoFilter ref="A1:H704" xr:uid="{00000000-0009-0000-0000-000003000000}"/>
  <conditionalFormatting sqref="A2:A879 A881:A956">
    <cfRule type="duplicateValues" dxfId="2" priority="3"/>
  </conditionalFormatting>
  <conditionalFormatting sqref="A959">
    <cfRule type="duplicateValues" dxfId="1" priority="2"/>
  </conditionalFormatting>
  <conditionalFormatting sqref="A880">
    <cfRule type="duplicateValues" dxfId="0" priority="1"/>
  </conditionalFormatting>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H179"/>
  <sheetViews>
    <sheetView workbookViewId="0">
      <selection activeCell="E43" sqref="E43:E179"/>
    </sheetView>
  </sheetViews>
  <sheetFormatPr defaultColWidth="8.875" defaultRowHeight="15.75" x14ac:dyDescent="0.25"/>
  <cols>
    <col min="1" max="1" width="23.625" bestFit="1" customWidth="1"/>
    <col min="2" max="2" width="39" customWidth="1"/>
    <col min="3" max="3" width="44.125" bestFit="1" customWidth="1"/>
    <col min="4" max="5" width="24.5" customWidth="1"/>
    <col min="6" max="6" width="48.125" customWidth="1"/>
    <col min="7" max="241" width="11" customWidth="1"/>
  </cols>
  <sheetData>
    <row r="1" spans="1:8" x14ac:dyDescent="0.25">
      <c r="A1" s="2" t="s">
        <v>6</v>
      </c>
      <c r="B1" s="6" t="s">
        <v>16</v>
      </c>
      <c r="C1" s="2" t="s">
        <v>70</v>
      </c>
      <c r="D1" s="2" t="s">
        <v>38</v>
      </c>
      <c r="E1" s="2" t="s">
        <v>75</v>
      </c>
      <c r="F1" s="2" t="s">
        <v>77</v>
      </c>
      <c r="G1" s="27" t="s">
        <v>2054</v>
      </c>
      <c r="H1" s="31" t="s">
        <v>2055</v>
      </c>
    </row>
    <row r="2" spans="1:8" x14ac:dyDescent="0.25">
      <c r="A2" t="s">
        <v>47</v>
      </c>
      <c r="B2" s="5" t="s">
        <v>145</v>
      </c>
      <c r="C2" s="4" t="s">
        <v>71</v>
      </c>
      <c r="D2" t="s">
        <v>139</v>
      </c>
      <c r="E2" s="7" t="s">
        <v>2790</v>
      </c>
      <c r="F2" s="5" t="s">
        <v>78</v>
      </c>
      <c r="G2" s="41">
        <v>1</v>
      </c>
      <c r="H2" s="31" t="s">
        <v>2059</v>
      </c>
    </row>
    <row r="3" spans="1:8" x14ac:dyDescent="0.25">
      <c r="A3" t="s">
        <v>48</v>
      </c>
      <c r="B3" t="s">
        <v>2245</v>
      </c>
      <c r="C3" s="4" t="s">
        <v>72</v>
      </c>
      <c r="D3" t="s">
        <v>140</v>
      </c>
      <c r="E3" s="7" t="s">
        <v>2791</v>
      </c>
      <c r="F3" s="5" t="s">
        <v>79</v>
      </c>
      <c r="G3" s="41">
        <v>2</v>
      </c>
      <c r="H3" s="31" t="s">
        <v>2063</v>
      </c>
    </row>
    <row r="4" spans="1:8" x14ac:dyDescent="0.25">
      <c r="A4" t="s">
        <v>49</v>
      </c>
      <c r="B4" t="s">
        <v>146</v>
      </c>
      <c r="C4" s="4" t="s">
        <v>73</v>
      </c>
      <c r="D4" t="s">
        <v>15</v>
      </c>
      <c r="E4" s="7" t="s">
        <v>1863</v>
      </c>
      <c r="F4" s="5" t="s">
        <v>80</v>
      </c>
      <c r="G4" s="41">
        <v>3</v>
      </c>
      <c r="H4" s="31" t="s">
        <v>2066</v>
      </c>
    </row>
    <row r="5" spans="1:8" x14ac:dyDescent="0.25">
      <c r="A5" t="s">
        <v>50</v>
      </c>
      <c r="B5" t="s">
        <v>147</v>
      </c>
      <c r="C5" s="4" t="s">
        <v>74</v>
      </c>
      <c r="D5" t="s">
        <v>141</v>
      </c>
      <c r="E5" s="7" t="s">
        <v>2792</v>
      </c>
      <c r="F5" s="5" t="s">
        <v>81</v>
      </c>
      <c r="G5" s="41">
        <v>4</v>
      </c>
      <c r="H5" s="31" t="s">
        <v>2068</v>
      </c>
    </row>
    <row r="6" spans="1:8" x14ac:dyDescent="0.25">
      <c r="A6" t="s">
        <v>51</v>
      </c>
      <c r="B6" t="s">
        <v>148</v>
      </c>
      <c r="C6" s="4" t="s">
        <v>75</v>
      </c>
      <c r="D6" t="s">
        <v>142</v>
      </c>
      <c r="E6" s="7" t="s">
        <v>1864</v>
      </c>
      <c r="F6" s="5" t="s">
        <v>82</v>
      </c>
      <c r="G6" s="41" t="s">
        <v>2071</v>
      </c>
      <c r="H6" s="31" t="s">
        <v>2072</v>
      </c>
    </row>
    <row r="7" spans="1:8" x14ac:dyDescent="0.25">
      <c r="A7" t="s">
        <v>52</v>
      </c>
      <c r="B7" t="s">
        <v>1836</v>
      </c>
      <c r="C7" s="4" t="s">
        <v>76</v>
      </c>
      <c r="D7" t="s">
        <v>143</v>
      </c>
      <c r="E7" s="7" t="s">
        <v>2793</v>
      </c>
      <c r="F7" s="5" t="s">
        <v>83</v>
      </c>
      <c r="G7" s="41" t="s">
        <v>2073</v>
      </c>
      <c r="H7" s="31" t="s">
        <v>2074</v>
      </c>
    </row>
    <row r="8" spans="1:8" x14ac:dyDescent="0.25">
      <c r="A8" t="s">
        <v>53</v>
      </c>
      <c r="B8" t="s">
        <v>149</v>
      </c>
      <c r="C8" s="4" t="s">
        <v>1803</v>
      </c>
      <c r="D8" t="s">
        <v>144</v>
      </c>
      <c r="E8" s="7" t="s">
        <v>1865</v>
      </c>
      <c r="F8" s="5" t="s">
        <v>84</v>
      </c>
      <c r="G8" s="41">
        <v>5</v>
      </c>
      <c r="H8" s="31" t="s">
        <v>2075</v>
      </c>
    </row>
    <row r="9" spans="1:8" x14ac:dyDescent="0.25">
      <c r="A9" t="s">
        <v>54</v>
      </c>
      <c r="B9" t="s">
        <v>1861</v>
      </c>
      <c r="C9" s="4" t="s">
        <v>67</v>
      </c>
      <c r="E9" s="7" t="s">
        <v>1866</v>
      </c>
      <c r="F9" s="5" t="s">
        <v>85</v>
      </c>
      <c r="G9" s="41">
        <v>6</v>
      </c>
      <c r="H9" s="31" t="s">
        <v>2078</v>
      </c>
    </row>
    <row r="10" spans="1:8" x14ac:dyDescent="0.25">
      <c r="A10" t="s">
        <v>55</v>
      </c>
      <c r="B10" t="s">
        <v>1862</v>
      </c>
      <c r="C10" s="4"/>
      <c r="E10" s="7" t="s">
        <v>2794</v>
      </c>
      <c r="F10" s="5" t="s">
        <v>86</v>
      </c>
      <c r="G10" s="41">
        <v>7</v>
      </c>
      <c r="H10" s="31" t="s">
        <v>2080</v>
      </c>
    </row>
    <row r="11" spans="1:8" x14ac:dyDescent="0.25">
      <c r="A11" t="s">
        <v>56</v>
      </c>
      <c r="B11" t="s">
        <v>150</v>
      </c>
      <c r="C11" s="4"/>
      <c r="E11" s="7" t="s">
        <v>1867</v>
      </c>
      <c r="F11" s="5" t="s">
        <v>87</v>
      </c>
      <c r="G11" s="41">
        <v>8</v>
      </c>
      <c r="H11" s="31" t="s">
        <v>2083</v>
      </c>
    </row>
    <row r="12" spans="1:8" x14ac:dyDescent="0.25">
      <c r="A12" t="s">
        <v>57</v>
      </c>
      <c r="E12" s="7" t="s">
        <v>2795</v>
      </c>
      <c r="F12" s="5" t="s">
        <v>88</v>
      </c>
      <c r="G12" s="41">
        <v>9</v>
      </c>
      <c r="H12" s="31" t="s">
        <v>2085</v>
      </c>
    </row>
    <row r="13" spans="1:8" x14ac:dyDescent="0.25">
      <c r="A13" t="s">
        <v>58</v>
      </c>
      <c r="E13" s="7" t="s">
        <v>1868</v>
      </c>
      <c r="F13" s="5" t="s">
        <v>89</v>
      </c>
      <c r="G13" s="41">
        <v>10</v>
      </c>
      <c r="H13" s="31" t="s">
        <v>2087</v>
      </c>
    </row>
    <row r="14" spans="1:8" x14ac:dyDescent="0.25">
      <c r="A14" t="s">
        <v>59</v>
      </c>
      <c r="E14" s="7" t="s">
        <v>2796</v>
      </c>
      <c r="F14" s="5" t="s">
        <v>90</v>
      </c>
      <c r="G14" s="41">
        <v>11</v>
      </c>
      <c r="H14" s="31" t="s">
        <v>2005</v>
      </c>
    </row>
    <row r="15" spans="1:8" x14ac:dyDescent="0.25">
      <c r="A15" t="s">
        <v>60</v>
      </c>
      <c r="E15" s="7" t="s">
        <v>2797</v>
      </c>
      <c r="F15" s="5" t="s">
        <v>91</v>
      </c>
      <c r="G15" s="41">
        <v>12</v>
      </c>
      <c r="H15" s="31" t="s">
        <v>2090</v>
      </c>
    </row>
    <row r="16" spans="1:8" x14ac:dyDescent="0.25">
      <c r="A16" t="s">
        <v>61</v>
      </c>
      <c r="E16" s="7" t="s">
        <v>1869</v>
      </c>
      <c r="F16" s="5" t="s">
        <v>92</v>
      </c>
      <c r="G16" s="41" t="s">
        <v>2092</v>
      </c>
      <c r="H16" s="31" t="s">
        <v>2093</v>
      </c>
    </row>
    <row r="17" spans="1:8" x14ac:dyDescent="0.25">
      <c r="A17" t="s">
        <v>62</v>
      </c>
      <c r="E17" s="7" t="s">
        <v>1870</v>
      </c>
      <c r="F17" s="5" t="s">
        <v>93</v>
      </c>
      <c r="G17" s="41" t="s">
        <v>2094</v>
      </c>
      <c r="H17" s="31" t="s">
        <v>2095</v>
      </c>
    </row>
    <row r="18" spans="1:8" x14ac:dyDescent="0.25">
      <c r="A18" t="s">
        <v>63</v>
      </c>
      <c r="B18" s="5"/>
      <c r="E18" s="7" t="s">
        <v>1871</v>
      </c>
      <c r="F18" s="5" t="s">
        <v>94</v>
      </c>
    </row>
    <row r="19" spans="1:8" x14ac:dyDescent="0.25">
      <c r="A19" t="s">
        <v>64</v>
      </c>
      <c r="B19" s="5"/>
      <c r="C19" s="4"/>
      <c r="E19" s="7" t="s">
        <v>1872</v>
      </c>
      <c r="F19" s="5" t="s">
        <v>95</v>
      </c>
    </row>
    <row r="20" spans="1:8" x14ac:dyDescent="0.25">
      <c r="A20" t="s">
        <v>65</v>
      </c>
      <c r="B20" s="5"/>
      <c r="C20" s="4"/>
      <c r="E20" s="7" t="s">
        <v>1873</v>
      </c>
      <c r="F20" s="5" t="s">
        <v>96</v>
      </c>
    </row>
    <row r="21" spans="1:8" x14ac:dyDescent="0.25">
      <c r="A21" t="s">
        <v>66</v>
      </c>
      <c r="B21" s="5"/>
      <c r="C21" s="4"/>
      <c r="E21" s="7" t="s">
        <v>2798</v>
      </c>
      <c r="F21" s="5" t="s">
        <v>97</v>
      </c>
    </row>
    <row r="22" spans="1:8" x14ac:dyDescent="0.25">
      <c r="A22" t="s">
        <v>67</v>
      </c>
      <c r="B22" s="5"/>
      <c r="C22" s="4"/>
      <c r="E22" s="7" t="s">
        <v>1874</v>
      </c>
      <c r="F22" s="5" t="s">
        <v>98</v>
      </c>
    </row>
    <row r="23" spans="1:8" x14ac:dyDescent="0.25">
      <c r="A23" t="s">
        <v>68</v>
      </c>
      <c r="B23" s="5"/>
      <c r="C23" s="4"/>
      <c r="E23" s="7" t="s">
        <v>1875</v>
      </c>
      <c r="F23" s="5" t="s">
        <v>99</v>
      </c>
    </row>
    <row r="24" spans="1:8" x14ac:dyDescent="0.25">
      <c r="A24" t="s">
        <v>69</v>
      </c>
      <c r="B24" s="5"/>
      <c r="C24" s="4"/>
      <c r="E24" s="7" t="s">
        <v>1876</v>
      </c>
      <c r="F24" s="5" t="s">
        <v>100</v>
      </c>
    </row>
    <row r="25" spans="1:8" x14ac:dyDescent="0.25">
      <c r="B25" s="5"/>
      <c r="C25" s="4"/>
      <c r="E25" s="7" t="s">
        <v>1877</v>
      </c>
      <c r="F25" s="5" t="s">
        <v>101</v>
      </c>
    </row>
    <row r="26" spans="1:8" x14ac:dyDescent="0.25">
      <c r="B26" s="5"/>
      <c r="C26" s="4"/>
      <c r="E26" s="7" t="s">
        <v>2799</v>
      </c>
      <c r="F26" s="5" t="s">
        <v>102</v>
      </c>
    </row>
    <row r="27" spans="1:8" x14ac:dyDescent="0.25">
      <c r="B27" s="5"/>
      <c r="C27" s="4"/>
      <c r="E27" s="7" t="s">
        <v>2800</v>
      </c>
      <c r="F27" s="5" t="s">
        <v>103</v>
      </c>
    </row>
    <row r="28" spans="1:8" x14ac:dyDescent="0.25">
      <c r="B28" s="5"/>
      <c r="C28" s="4"/>
      <c r="E28" s="7" t="s">
        <v>1878</v>
      </c>
      <c r="F28" s="5" t="s">
        <v>104</v>
      </c>
    </row>
    <row r="29" spans="1:8" x14ac:dyDescent="0.25">
      <c r="B29" s="5"/>
      <c r="C29" s="4"/>
      <c r="E29" s="7" t="s">
        <v>1879</v>
      </c>
      <c r="F29" s="5" t="s">
        <v>105</v>
      </c>
    </row>
    <row r="30" spans="1:8" x14ac:dyDescent="0.25">
      <c r="B30" s="5"/>
      <c r="C30" s="4"/>
      <c r="E30" s="7" t="s">
        <v>1880</v>
      </c>
      <c r="F30" s="5" t="s">
        <v>106</v>
      </c>
    </row>
    <row r="31" spans="1:8" x14ac:dyDescent="0.25">
      <c r="B31" s="5"/>
      <c r="C31" s="4"/>
      <c r="E31" s="7" t="s">
        <v>1881</v>
      </c>
      <c r="F31" s="5" t="s">
        <v>107</v>
      </c>
    </row>
    <row r="32" spans="1:8" x14ac:dyDescent="0.25">
      <c r="B32" s="5"/>
      <c r="C32" s="4"/>
      <c r="E32" s="7" t="s">
        <v>1882</v>
      </c>
      <c r="F32" s="5" t="s">
        <v>108</v>
      </c>
    </row>
    <row r="33" spans="2:6" x14ac:dyDescent="0.25">
      <c r="B33" s="5"/>
      <c r="C33" s="4"/>
      <c r="E33" s="7" t="s">
        <v>1883</v>
      </c>
      <c r="F33" s="5" t="s">
        <v>109</v>
      </c>
    </row>
    <row r="34" spans="2:6" x14ac:dyDescent="0.25">
      <c r="C34" s="4"/>
      <c r="E34" s="7" t="s">
        <v>1884</v>
      </c>
      <c r="F34" s="5" t="s">
        <v>110</v>
      </c>
    </row>
    <row r="35" spans="2:6" x14ac:dyDescent="0.25">
      <c r="C35" s="4"/>
      <c r="E35" s="7" t="s">
        <v>1885</v>
      </c>
      <c r="F35" s="5" t="s">
        <v>111</v>
      </c>
    </row>
    <row r="36" spans="2:6" x14ac:dyDescent="0.25">
      <c r="C36" s="4"/>
      <c r="E36" s="7" t="s">
        <v>2801</v>
      </c>
      <c r="F36" s="5" t="s">
        <v>112</v>
      </c>
    </row>
    <row r="37" spans="2:6" x14ac:dyDescent="0.25">
      <c r="C37" s="4"/>
      <c r="E37" s="7" t="s">
        <v>1886</v>
      </c>
      <c r="F37" s="5" t="s">
        <v>113</v>
      </c>
    </row>
    <row r="38" spans="2:6" x14ac:dyDescent="0.25">
      <c r="C38" s="4"/>
      <c r="E38" s="7" t="s">
        <v>2802</v>
      </c>
      <c r="F38" s="5" t="s">
        <v>114</v>
      </c>
    </row>
    <row r="39" spans="2:6" x14ac:dyDescent="0.25">
      <c r="E39" s="7" t="s">
        <v>1887</v>
      </c>
      <c r="F39" s="5" t="s">
        <v>115</v>
      </c>
    </row>
    <row r="40" spans="2:6" x14ac:dyDescent="0.25">
      <c r="E40" s="7" t="s">
        <v>1888</v>
      </c>
      <c r="F40" s="5" t="s">
        <v>116</v>
      </c>
    </row>
    <row r="41" spans="2:6" x14ac:dyDescent="0.25">
      <c r="E41" s="7" t="s">
        <v>2803</v>
      </c>
      <c r="F41" s="5" t="s">
        <v>117</v>
      </c>
    </row>
    <row r="42" spans="2:6" x14ac:dyDescent="0.25">
      <c r="E42" s="7" t="s">
        <v>2804</v>
      </c>
      <c r="F42" s="5" t="s">
        <v>118</v>
      </c>
    </row>
    <row r="43" spans="2:6" x14ac:dyDescent="0.25">
      <c r="C43" s="4"/>
      <c r="E43" s="7" t="s">
        <v>1889</v>
      </c>
      <c r="F43" s="5" t="s">
        <v>119</v>
      </c>
    </row>
    <row r="44" spans="2:6" x14ac:dyDescent="0.25">
      <c r="C44" s="4"/>
      <c r="E44" s="54" t="s">
        <v>148</v>
      </c>
      <c r="F44" s="5" t="s">
        <v>120</v>
      </c>
    </row>
    <row r="45" spans="2:6" x14ac:dyDescent="0.25">
      <c r="C45" s="4"/>
      <c r="E45" s="7" t="s">
        <v>1890</v>
      </c>
      <c r="F45" s="5" t="s">
        <v>121</v>
      </c>
    </row>
    <row r="46" spans="2:6" x14ac:dyDescent="0.25">
      <c r="C46" s="4"/>
      <c r="E46" s="7" t="s">
        <v>2805</v>
      </c>
      <c r="F46" s="5" t="s">
        <v>122</v>
      </c>
    </row>
    <row r="47" spans="2:6" x14ac:dyDescent="0.25">
      <c r="C47" s="4"/>
      <c r="E47" s="7" t="s">
        <v>1891</v>
      </c>
      <c r="F47" s="5" t="s">
        <v>123</v>
      </c>
    </row>
    <row r="48" spans="2:6" x14ac:dyDescent="0.25">
      <c r="C48" s="4"/>
      <c r="E48" s="7" t="s">
        <v>1892</v>
      </c>
      <c r="F48" s="5" t="s">
        <v>124</v>
      </c>
    </row>
    <row r="49" spans="3:6" x14ac:dyDescent="0.25">
      <c r="C49" s="4"/>
      <c r="E49" s="7" t="s">
        <v>2806</v>
      </c>
      <c r="F49" s="5" t="s">
        <v>125</v>
      </c>
    </row>
    <row r="50" spans="3:6" x14ac:dyDescent="0.25">
      <c r="C50" s="4"/>
      <c r="E50" s="7" t="s">
        <v>2807</v>
      </c>
      <c r="F50" s="5" t="s">
        <v>126</v>
      </c>
    </row>
    <row r="51" spans="3:6" x14ac:dyDescent="0.25">
      <c r="C51" s="4"/>
      <c r="E51" s="7" t="s">
        <v>1893</v>
      </c>
      <c r="F51" s="5" t="s">
        <v>127</v>
      </c>
    </row>
    <row r="52" spans="3:6" x14ac:dyDescent="0.25">
      <c r="C52" s="4"/>
      <c r="E52" s="7" t="s">
        <v>2808</v>
      </c>
      <c r="F52" s="5" t="s">
        <v>128</v>
      </c>
    </row>
    <row r="53" spans="3:6" x14ac:dyDescent="0.25">
      <c r="C53" s="4"/>
      <c r="E53" s="7" t="s">
        <v>1894</v>
      </c>
      <c r="F53" s="5" t="s">
        <v>129</v>
      </c>
    </row>
    <row r="54" spans="3:6" x14ac:dyDescent="0.25">
      <c r="C54" s="4"/>
      <c r="E54" s="7" t="s">
        <v>2809</v>
      </c>
      <c r="F54" s="5" t="s">
        <v>130</v>
      </c>
    </row>
    <row r="55" spans="3:6" x14ac:dyDescent="0.25">
      <c r="C55" s="4"/>
      <c r="E55" s="7" t="s">
        <v>1895</v>
      </c>
      <c r="F55" s="5" t="s">
        <v>131</v>
      </c>
    </row>
    <row r="56" spans="3:6" x14ac:dyDescent="0.25">
      <c r="C56" s="4"/>
      <c r="E56" s="7" t="s">
        <v>1896</v>
      </c>
      <c r="F56" s="5" t="s">
        <v>132</v>
      </c>
    </row>
    <row r="57" spans="3:6" x14ac:dyDescent="0.25">
      <c r="C57" s="4"/>
      <c r="E57" s="7" t="s">
        <v>1897</v>
      </c>
      <c r="F57" s="5" t="s">
        <v>133</v>
      </c>
    </row>
    <row r="58" spans="3:6" x14ac:dyDescent="0.25">
      <c r="C58" s="4"/>
      <c r="E58" s="7" t="s">
        <v>2810</v>
      </c>
      <c r="F58" s="5" t="s">
        <v>134</v>
      </c>
    </row>
    <row r="59" spans="3:6" x14ac:dyDescent="0.25">
      <c r="C59" s="4"/>
      <c r="E59" s="7" t="s">
        <v>1898</v>
      </c>
      <c r="F59" s="5" t="s">
        <v>135</v>
      </c>
    </row>
    <row r="60" spans="3:6" x14ac:dyDescent="0.25">
      <c r="C60" s="4"/>
      <c r="E60" s="7" t="s">
        <v>1899</v>
      </c>
      <c r="F60" s="5" t="s">
        <v>136</v>
      </c>
    </row>
    <row r="61" spans="3:6" x14ac:dyDescent="0.25">
      <c r="C61" s="4"/>
      <c r="E61" s="7" t="s">
        <v>1900</v>
      </c>
      <c r="F61" s="5" t="s">
        <v>137</v>
      </c>
    </row>
    <row r="62" spans="3:6" x14ac:dyDescent="0.25">
      <c r="C62" s="4"/>
      <c r="E62" s="7" t="s">
        <v>1901</v>
      </c>
      <c r="F62" s="5" t="s">
        <v>138</v>
      </c>
    </row>
    <row r="63" spans="3:6" x14ac:dyDescent="0.25">
      <c r="C63" s="4"/>
      <c r="E63" s="7" t="s">
        <v>1902</v>
      </c>
      <c r="F63" s="5" t="s">
        <v>67</v>
      </c>
    </row>
    <row r="64" spans="3:6" x14ac:dyDescent="0.25">
      <c r="C64" s="4"/>
      <c r="E64" s="7" t="s">
        <v>1903</v>
      </c>
    </row>
    <row r="65" spans="3:5" x14ac:dyDescent="0.25">
      <c r="C65" s="4"/>
      <c r="D65" s="4"/>
      <c r="E65" s="7" t="s">
        <v>2811</v>
      </c>
    </row>
    <row r="66" spans="3:5" x14ac:dyDescent="0.25">
      <c r="C66" s="4"/>
      <c r="E66" s="7" t="s">
        <v>1904</v>
      </c>
    </row>
    <row r="67" spans="3:5" x14ac:dyDescent="0.25">
      <c r="C67" s="4"/>
      <c r="E67" s="7" t="s">
        <v>1905</v>
      </c>
    </row>
    <row r="68" spans="3:5" x14ac:dyDescent="0.25">
      <c r="C68" s="4"/>
      <c r="E68" s="7" t="s">
        <v>1906</v>
      </c>
    </row>
    <row r="69" spans="3:5" x14ac:dyDescent="0.25">
      <c r="C69" s="4"/>
      <c r="E69" s="7" t="s">
        <v>2812</v>
      </c>
    </row>
    <row r="70" spans="3:5" x14ac:dyDescent="0.25">
      <c r="C70" s="4"/>
      <c r="E70" s="7" t="s">
        <v>1907</v>
      </c>
    </row>
    <row r="71" spans="3:5" x14ac:dyDescent="0.25">
      <c r="C71" s="4"/>
      <c r="E71" s="7" t="s">
        <v>1908</v>
      </c>
    </row>
    <row r="72" spans="3:5" x14ac:dyDescent="0.25">
      <c r="C72" s="4"/>
      <c r="E72" s="7" t="s">
        <v>2813</v>
      </c>
    </row>
    <row r="73" spans="3:5" x14ac:dyDescent="0.25">
      <c r="C73" s="4"/>
      <c r="E73" s="7" t="s">
        <v>2814</v>
      </c>
    </row>
    <row r="74" spans="3:5" x14ac:dyDescent="0.25">
      <c r="C74" s="4"/>
      <c r="E74" s="7" t="s">
        <v>1909</v>
      </c>
    </row>
    <row r="75" spans="3:5" x14ac:dyDescent="0.25">
      <c r="C75" s="4"/>
      <c r="E75" s="7" t="s">
        <v>1910</v>
      </c>
    </row>
    <row r="76" spans="3:5" x14ac:dyDescent="0.25">
      <c r="C76" s="4"/>
      <c r="E76" s="7" t="s">
        <v>1911</v>
      </c>
    </row>
    <row r="77" spans="3:5" x14ac:dyDescent="0.25">
      <c r="C77" s="4"/>
      <c r="D77" s="4"/>
      <c r="E77" s="7" t="s">
        <v>2815</v>
      </c>
    </row>
    <row r="78" spans="3:5" x14ac:dyDescent="0.25">
      <c r="C78" s="4"/>
      <c r="D78" s="4"/>
      <c r="E78" s="7" t="s">
        <v>2816</v>
      </c>
    </row>
    <row r="79" spans="3:5" x14ac:dyDescent="0.25">
      <c r="C79" s="4"/>
      <c r="D79" s="4"/>
      <c r="E79" s="7" t="s">
        <v>1912</v>
      </c>
    </row>
    <row r="80" spans="3:5" x14ac:dyDescent="0.25">
      <c r="C80" s="4"/>
      <c r="D80" s="4"/>
      <c r="E80" s="7" t="s">
        <v>2817</v>
      </c>
    </row>
    <row r="81" spans="3:5" x14ac:dyDescent="0.25">
      <c r="C81" s="4"/>
      <c r="D81" s="4"/>
      <c r="E81" t="s">
        <v>2818</v>
      </c>
    </row>
    <row r="82" spans="3:5" x14ac:dyDescent="0.25">
      <c r="C82" s="4"/>
      <c r="D82" s="4"/>
      <c r="E82" s="7" t="s">
        <v>2819</v>
      </c>
    </row>
    <row r="83" spans="3:5" x14ac:dyDescent="0.25">
      <c r="C83" s="4"/>
      <c r="D83" s="4"/>
      <c r="E83" s="7" t="s">
        <v>1913</v>
      </c>
    </row>
    <row r="84" spans="3:5" x14ac:dyDescent="0.25">
      <c r="C84" s="4"/>
      <c r="D84" s="4"/>
      <c r="E84" s="7" t="s">
        <v>2820</v>
      </c>
    </row>
    <row r="85" spans="3:5" x14ac:dyDescent="0.25">
      <c r="C85" s="4"/>
      <c r="D85" s="4"/>
      <c r="E85" t="s">
        <v>2821</v>
      </c>
    </row>
    <row r="86" spans="3:5" x14ac:dyDescent="0.25">
      <c r="C86" s="4"/>
      <c r="D86" s="4"/>
      <c r="E86" s="7" t="s">
        <v>2822</v>
      </c>
    </row>
    <row r="87" spans="3:5" x14ac:dyDescent="0.25">
      <c r="C87" s="4"/>
      <c r="D87" s="4"/>
      <c r="E87" s="7" t="s">
        <v>2823</v>
      </c>
    </row>
    <row r="88" spans="3:5" x14ac:dyDescent="0.25">
      <c r="C88" s="4"/>
      <c r="D88" s="4"/>
      <c r="E88" s="7" t="s">
        <v>1914</v>
      </c>
    </row>
    <row r="89" spans="3:5" x14ac:dyDescent="0.25">
      <c r="C89" s="4"/>
      <c r="D89" s="4"/>
      <c r="E89" s="7" t="s">
        <v>1915</v>
      </c>
    </row>
    <row r="90" spans="3:5" x14ac:dyDescent="0.25">
      <c r="C90" s="4"/>
      <c r="D90" s="4"/>
      <c r="E90" s="7" t="s">
        <v>2824</v>
      </c>
    </row>
    <row r="91" spans="3:5" x14ac:dyDescent="0.25">
      <c r="C91" s="4"/>
      <c r="D91" s="4"/>
      <c r="E91" s="7" t="s">
        <v>2825</v>
      </c>
    </row>
    <row r="92" spans="3:5" x14ac:dyDescent="0.25">
      <c r="C92" s="4"/>
      <c r="D92" s="4"/>
      <c r="E92" s="7" t="s">
        <v>1916</v>
      </c>
    </row>
    <row r="93" spans="3:5" x14ac:dyDescent="0.25">
      <c r="C93" s="4"/>
      <c r="D93" s="4"/>
      <c r="E93" s="7" t="s">
        <v>1917</v>
      </c>
    </row>
    <row r="94" spans="3:5" x14ac:dyDescent="0.25">
      <c r="C94" s="4"/>
      <c r="D94" s="4"/>
      <c r="E94" s="7" t="s">
        <v>2826</v>
      </c>
    </row>
    <row r="95" spans="3:5" x14ac:dyDescent="0.25">
      <c r="C95" s="4"/>
      <c r="D95" s="4"/>
      <c r="E95" s="7" t="s">
        <v>2827</v>
      </c>
    </row>
    <row r="96" spans="3:5" x14ac:dyDescent="0.25">
      <c r="C96" s="4"/>
      <c r="D96" s="4"/>
      <c r="E96" s="7" t="s">
        <v>1918</v>
      </c>
    </row>
    <row r="97" spans="3:5" x14ac:dyDescent="0.25">
      <c r="C97" s="4"/>
      <c r="D97" s="4"/>
      <c r="E97" s="7" t="s">
        <v>1919</v>
      </c>
    </row>
    <row r="98" spans="3:5" x14ac:dyDescent="0.25">
      <c r="C98" s="4"/>
      <c r="D98" s="4"/>
      <c r="E98" s="7" t="s">
        <v>1920</v>
      </c>
    </row>
    <row r="99" spans="3:5" x14ac:dyDescent="0.25">
      <c r="C99" s="4"/>
      <c r="D99" s="4"/>
      <c r="E99" s="7" t="s">
        <v>1921</v>
      </c>
    </row>
    <row r="100" spans="3:5" x14ac:dyDescent="0.25">
      <c r="C100" s="4"/>
      <c r="D100" s="4"/>
      <c r="E100" s="7" t="s">
        <v>1922</v>
      </c>
    </row>
    <row r="101" spans="3:5" x14ac:dyDescent="0.25">
      <c r="C101" s="4"/>
      <c r="D101" s="4"/>
      <c r="E101" s="7" t="s">
        <v>1923</v>
      </c>
    </row>
    <row r="102" spans="3:5" x14ac:dyDescent="0.25">
      <c r="C102" s="4"/>
      <c r="D102" s="4"/>
      <c r="E102" s="7" t="s">
        <v>2828</v>
      </c>
    </row>
    <row r="103" spans="3:5" x14ac:dyDescent="0.25">
      <c r="C103" s="4"/>
      <c r="D103" s="4"/>
      <c r="E103" t="s">
        <v>2829</v>
      </c>
    </row>
    <row r="104" spans="3:5" x14ac:dyDescent="0.25">
      <c r="C104" s="4"/>
      <c r="D104" s="4"/>
      <c r="E104" s="7" t="s">
        <v>1924</v>
      </c>
    </row>
    <row r="105" spans="3:5" x14ac:dyDescent="0.25">
      <c r="C105" s="4"/>
      <c r="D105" s="4"/>
      <c r="E105" s="7" t="s">
        <v>1925</v>
      </c>
    </row>
    <row r="106" spans="3:5" x14ac:dyDescent="0.25">
      <c r="C106" s="4"/>
      <c r="D106" s="4"/>
      <c r="E106" s="7" t="s">
        <v>2830</v>
      </c>
    </row>
    <row r="107" spans="3:5" x14ac:dyDescent="0.25">
      <c r="C107" s="4"/>
      <c r="D107" s="4"/>
      <c r="E107" s="7" t="s">
        <v>2831</v>
      </c>
    </row>
    <row r="108" spans="3:5" x14ac:dyDescent="0.25">
      <c r="C108" s="4"/>
      <c r="D108" s="4"/>
      <c r="E108" s="7" t="s">
        <v>2832</v>
      </c>
    </row>
    <row r="109" spans="3:5" x14ac:dyDescent="0.25">
      <c r="C109" s="4"/>
      <c r="D109" s="4"/>
      <c r="E109" s="7" t="s">
        <v>1926</v>
      </c>
    </row>
    <row r="110" spans="3:5" x14ac:dyDescent="0.25">
      <c r="C110" s="4"/>
      <c r="D110" s="4"/>
      <c r="E110" s="7" t="s">
        <v>2833</v>
      </c>
    </row>
    <row r="111" spans="3:5" x14ac:dyDescent="0.25">
      <c r="C111" s="4"/>
      <c r="D111" s="4"/>
      <c r="E111" s="7" t="s">
        <v>1927</v>
      </c>
    </row>
    <row r="112" spans="3:5" x14ac:dyDescent="0.25">
      <c r="C112" s="4"/>
      <c r="D112" s="4"/>
      <c r="E112" s="7" t="s">
        <v>2834</v>
      </c>
    </row>
    <row r="113" spans="3:5" x14ac:dyDescent="0.25">
      <c r="C113" s="4"/>
      <c r="D113" s="4"/>
      <c r="E113" s="7" t="s">
        <v>2835</v>
      </c>
    </row>
    <row r="114" spans="3:5" x14ac:dyDescent="0.25">
      <c r="C114" s="4"/>
      <c r="D114" s="4"/>
      <c r="E114" s="7" t="s">
        <v>2836</v>
      </c>
    </row>
    <row r="115" spans="3:5" x14ac:dyDescent="0.25">
      <c r="C115" s="4"/>
      <c r="D115" s="4"/>
      <c r="E115" s="7" t="s">
        <v>1928</v>
      </c>
    </row>
    <row r="116" spans="3:5" x14ac:dyDescent="0.25">
      <c r="C116" s="4"/>
      <c r="D116" s="4"/>
      <c r="E116" s="7" t="s">
        <v>1929</v>
      </c>
    </row>
    <row r="117" spans="3:5" x14ac:dyDescent="0.25">
      <c r="C117" s="4"/>
      <c r="D117" s="4"/>
      <c r="E117" s="7" t="s">
        <v>1930</v>
      </c>
    </row>
    <row r="118" spans="3:5" x14ac:dyDescent="0.25">
      <c r="C118" s="4"/>
      <c r="D118" s="4"/>
      <c r="E118" s="7" t="s">
        <v>2837</v>
      </c>
    </row>
    <row r="119" spans="3:5" x14ac:dyDescent="0.25">
      <c r="C119" s="4"/>
      <c r="D119" s="4"/>
      <c r="E119" s="7" t="s">
        <v>1931</v>
      </c>
    </row>
    <row r="120" spans="3:5" x14ac:dyDescent="0.25">
      <c r="C120" s="4"/>
      <c r="D120" s="4"/>
      <c r="E120" s="7" t="s">
        <v>2838</v>
      </c>
    </row>
    <row r="121" spans="3:5" x14ac:dyDescent="0.25">
      <c r="C121" s="4"/>
      <c r="D121" s="4"/>
      <c r="E121" s="7" t="s">
        <v>1932</v>
      </c>
    </row>
    <row r="122" spans="3:5" x14ac:dyDescent="0.25">
      <c r="C122" s="4"/>
      <c r="D122" s="4"/>
      <c r="E122" s="7" t="s">
        <v>2839</v>
      </c>
    </row>
    <row r="123" spans="3:5" x14ac:dyDescent="0.25">
      <c r="C123" s="4"/>
      <c r="D123" s="4"/>
      <c r="E123" s="7" t="s">
        <v>1933</v>
      </c>
    </row>
    <row r="124" spans="3:5" x14ac:dyDescent="0.25">
      <c r="C124" s="4"/>
      <c r="D124" s="4"/>
      <c r="E124" s="7" t="s">
        <v>2840</v>
      </c>
    </row>
    <row r="125" spans="3:5" x14ac:dyDescent="0.25">
      <c r="C125" s="4"/>
      <c r="D125" s="4"/>
      <c r="E125" s="7" t="s">
        <v>1934</v>
      </c>
    </row>
    <row r="126" spans="3:5" x14ac:dyDescent="0.25">
      <c r="C126" s="4"/>
      <c r="D126" s="4"/>
      <c r="E126" s="7" t="s">
        <v>1935</v>
      </c>
    </row>
    <row r="127" spans="3:5" x14ac:dyDescent="0.25">
      <c r="C127" s="4"/>
      <c r="D127" s="4"/>
      <c r="E127" s="7" t="s">
        <v>1936</v>
      </c>
    </row>
    <row r="128" spans="3:5" x14ac:dyDescent="0.25">
      <c r="C128" s="4"/>
      <c r="D128" s="4"/>
      <c r="E128" s="7" t="s">
        <v>1937</v>
      </c>
    </row>
    <row r="129" spans="3:5" x14ac:dyDescent="0.25">
      <c r="C129" s="4"/>
      <c r="D129" s="4"/>
      <c r="E129" s="7" t="s">
        <v>1938</v>
      </c>
    </row>
    <row r="130" spans="3:5" x14ac:dyDescent="0.25">
      <c r="C130" s="4"/>
      <c r="D130" s="4"/>
      <c r="E130" s="7" t="s">
        <v>2841</v>
      </c>
    </row>
    <row r="131" spans="3:5" x14ac:dyDescent="0.25">
      <c r="C131" s="4"/>
      <c r="D131" s="4"/>
      <c r="E131" s="7" t="s">
        <v>1939</v>
      </c>
    </row>
    <row r="132" spans="3:5" x14ac:dyDescent="0.25">
      <c r="C132" s="4"/>
      <c r="D132" s="4"/>
      <c r="E132" s="7" t="s">
        <v>2842</v>
      </c>
    </row>
    <row r="133" spans="3:5" x14ac:dyDescent="0.25">
      <c r="C133" s="4"/>
      <c r="D133" s="4"/>
      <c r="E133" s="7" t="s">
        <v>2843</v>
      </c>
    </row>
    <row r="134" spans="3:5" x14ac:dyDescent="0.25">
      <c r="C134" s="4"/>
      <c r="D134" s="4"/>
      <c r="E134" s="7" t="s">
        <v>2844</v>
      </c>
    </row>
    <row r="135" spans="3:5" x14ac:dyDescent="0.25">
      <c r="C135" s="4"/>
      <c r="D135" s="4"/>
      <c r="E135" s="7" t="s">
        <v>1940</v>
      </c>
    </row>
    <row r="136" spans="3:5" x14ac:dyDescent="0.25">
      <c r="C136" s="4"/>
      <c r="D136" s="4"/>
      <c r="E136" s="7" t="s">
        <v>1941</v>
      </c>
    </row>
    <row r="137" spans="3:5" x14ac:dyDescent="0.25">
      <c r="C137" s="4"/>
      <c r="D137" s="4"/>
      <c r="E137" s="7" t="s">
        <v>2845</v>
      </c>
    </row>
    <row r="138" spans="3:5" x14ac:dyDescent="0.25">
      <c r="C138" s="4"/>
      <c r="D138" s="4"/>
      <c r="E138" s="7" t="s">
        <v>2846</v>
      </c>
    </row>
    <row r="139" spans="3:5" x14ac:dyDescent="0.25">
      <c r="C139" s="4"/>
      <c r="D139" s="4"/>
      <c r="E139" s="7" t="s">
        <v>2847</v>
      </c>
    </row>
    <row r="140" spans="3:5" x14ac:dyDescent="0.25">
      <c r="C140" s="4"/>
      <c r="D140" s="4"/>
      <c r="E140" s="7" t="s">
        <v>1942</v>
      </c>
    </row>
    <row r="141" spans="3:5" x14ac:dyDescent="0.25">
      <c r="C141" s="4"/>
      <c r="D141" s="4"/>
      <c r="E141" s="7" t="s">
        <v>1943</v>
      </c>
    </row>
    <row r="142" spans="3:5" x14ac:dyDescent="0.25">
      <c r="E142" s="7" t="s">
        <v>1944</v>
      </c>
    </row>
    <row r="143" spans="3:5" x14ac:dyDescent="0.25">
      <c r="E143" s="7" t="s">
        <v>2848</v>
      </c>
    </row>
    <row r="144" spans="3:5" x14ac:dyDescent="0.25">
      <c r="E144" s="7" t="s">
        <v>2849</v>
      </c>
    </row>
    <row r="145" spans="5:5" x14ac:dyDescent="0.25">
      <c r="E145" s="7" t="s">
        <v>2850</v>
      </c>
    </row>
    <row r="146" spans="5:5" x14ac:dyDescent="0.25">
      <c r="E146" s="7" t="s">
        <v>1945</v>
      </c>
    </row>
    <row r="147" spans="5:5" x14ac:dyDescent="0.25">
      <c r="E147" s="7" t="s">
        <v>1946</v>
      </c>
    </row>
    <row r="148" spans="5:5" x14ac:dyDescent="0.25">
      <c r="E148" s="7" t="s">
        <v>1947</v>
      </c>
    </row>
    <row r="149" spans="5:5" x14ac:dyDescent="0.25">
      <c r="E149" s="7" t="s">
        <v>1948</v>
      </c>
    </row>
    <row r="150" spans="5:5" x14ac:dyDescent="0.25">
      <c r="E150" s="7" t="s">
        <v>1949</v>
      </c>
    </row>
    <row r="151" spans="5:5" x14ac:dyDescent="0.25">
      <c r="E151" s="7" t="s">
        <v>1950</v>
      </c>
    </row>
    <row r="152" spans="5:5" x14ac:dyDescent="0.25">
      <c r="E152" s="7" t="s">
        <v>1951</v>
      </c>
    </row>
    <row r="153" spans="5:5" x14ac:dyDescent="0.25">
      <c r="E153" s="7" t="s">
        <v>2851</v>
      </c>
    </row>
    <row r="154" spans="5:5" x14ac:dyDescent="0.25">
      <c r="E154" s="7" t="s">
        <v>1952</v>
      </c>
    </row>
    <row r="155" spans="5:5" x14ac:dyDescent="0.25">
      <c r="E155" s="7" t="s">
        <v>1953</v>
      </c>
    </row>
    <row r="156" spans="5:5" x14ac:dyDescent="0.25">
      <c r="E156" s="7" t="s">
        <v>2852</v>
      </c>
    </row>
    <row r="157" spans="5:5" x14ac:dyDescent="0.25">
      <c r="E157" s="7" t="s">
        <v>1954</v>
      </c>
    </row>
    <row r="158" spans="5:5" x14ac:dyDescent="0.25">
      <c r="E158" s="7" t="s">
        <v>2853</v>
      </c>
    </row>
    <row r="159" spans="5:5" x14ac:dyDescent="0.25">
      <c r="E159" t="s">
        <v>1955</v>
      </c>
    </row>
    <row r="160" spans="5:5" x14ac:dyDescent="0.25">
      <c r="E160" s="7" t="s">
        <v>1956</v>
      </c>
    </row>
    <row r="161" spans="5:5" x14ac:dyDescent="0.25">
      <c r="E161" s="7" t="s">
        <v>1957</v>
      </c>
    </row>
    <row r="162" spans="5:5" x14ac:dyDescent="0.25">
      <c r="E162" s="7" t="s">
        <v>2854</v>
      </c>
    </row>
    <row r="163" spans="5:5" x14ac:dyDescent="0.25">
      <c r="E163" s="7" t="s">
        <v>1958</v>
      </c>
    </row>
    <row r="164" spans="5:5" x14ac:dyDescent="0.25">
      <c r="E164" s="7" t="s">
        <v>2855</v>
      </c>
    </row>
    <row r="165" spans="5:5" x14ac:dyDescent="0.25">
      <c r="E165" s="7" t="s">
        <v>1959</v>
      </c>
    </row>
    <row r="166" spans="5:5" x14ac:dyDescent="0.25">
      <c r="E166" s="7" t="s">
        <v>2856</v>
      </c>
    </row>
    <row r="167" spans="5:5" x14ac:dyDescent="0.25">
      <c r="E167" s="7" t="s">
        <v>1960</v>
      </c>
    </row>
    <row r="168" spans="5:5" x14ac:dyDescent="0.25">
      <c r="E168" s="7" t="s">
        <v>1961</v>
      </c>
    </row>
    <row r="169" spans="5:5" x14ac:dyDescent="0.25">
      <c r="E169" s="7" t="s">
        <v>2857</v>
      </c>
    </row>
    <row r="170" spans="5:5" x14ac:dyDescent="0.25">
      <c r="E170" s="7" t="s">
        <v>1962</v>
      </c>
    </row>
    <row r="171" spans="5:5" x14ac:dyDescent="0.25">
      <c r="E171" s="7" t="s">
        <v>2858</v>
      </c>
    </row>
    <row r="172" spans="5:5" x14ac:dyDescent="0.25">
      <c r="E172" s="7" t="s">
        <v>2789</v>
      </c>
    </row>
    <row r="173" spans="5:5" x14ac:dyDescent="0.25">
      <c r="E173" s="7" t="s">
        <v>1963</v>
      </c>
    </row>
    <row r="174" spans="5:5" x14ac:dyDescent="0.25">
      <c r="E174" s="7" t="s">
        <v>2859</v>
      </c>
    </row>
    <row r="175" spans="5:5" x14ac:dyDescent="0.25">
      <c r="E175" s="7" t="s">
        <v>1964</v>
      </c>
    </row>
    <row r="176" spans="5:5" x14ac:dyDescent="0.25">
      <c r="E176" s="7" t="s">
        <v>1965</v>
      </c>
    </row>
    <row r="177" spans="5:5" x14ac:dyDescent="0.25">
      <c r="E177" s="7" t="s">
        <v>2860</v>
      </c>
    </row>
    <row r="178" spans="5:5" x14ac:dyDescent="0.25">
      <c r="E178" s="7" t="s">
        <v>1966</v>
      </c>
    </row>
    <row r="179" spans="5:5" x14ac:dyDescent="0.25">
      <c r="E179" s="7" t="s">
        <v>2861</v>
      </c>
    </row>
  </sheetData>
  <sheetProtection algorithmName="SHA-512" hashValue="URk6Bxublg8IRQqqZme91kxUOX27PXcviZ6hkes5DcgBI5EfLoRzaYDchx+Zb2bguy0up62tZ4Xt3iWW43Xdmg==" saltValue="FO5HvcNO47TkyBaPn0dMmg==" spinCount="100000" sheet="1" objects="1" scenarios="1" selectLockedCells="1" selectUnlockedCells="1"/>
  <autoFilter ref="A1:F267" xr:uid="{00000000-0009-0000-0000-000004000000}"/>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I412"/>
  <sheetViews>
    <sheetView topLeftCell="A143" workbookViewId="0">
      <selection activeCell="B38" sqref="B38"/>
    </sheetView>
  </sheetViews>
  <sheetFormatPr defaultColWidth="8.875" defaultRowHeight="15.75" x14ac:dyDescent="0.25"/>
  <cols>
    <col min="1" max="1" width="22.875" customWidth="1"/>
    <col min="2" max="2" width="19.125" customWidth="1"/>
    <col min="3" max="3" width="20.5" customWidth="1"/>
    <col min="4" max="4" width="16.125" customWidth="1"/>
    <col min="5" max="5" width="18.875" customWidth="1"/>
    <col min="6" max="6" width="13.375" customWidth="1"/>
    <col min="7" max="256" width="11" customWidth="1"/>
  </cols>
  <sheetData>
    <row r="1" spans="1:9" x14ac:dyDescent="0.25">
      <c r="A1" s="2" t="s">
        <v>9</v>
      </c>
      <c r="B1" s="12" t="s">
        <v>1806</v>
      </c>
      <c r="C1" s="12" t="s">
        <v>1807</v>
      </c>
      <c r="D1" s="12" t="s">
        <v>1808</v>
      </c>
      <c r="E1" s="12" t="s">
        <v>1809</v>
      </c>
      <c r="F1" s="12" t="s">
        <v>1810</v>
      </c>
      <c r="G1" s="13" t="s">
        <v>1831</v>
      </c>
    </row>
    <row r="2" spans="1:9" x14ac:dyDescent="0.25">
      <c r="A2" s="8" t="s">
        <v>1806</v>
      </c>
      <c r="B2" t="s">
        <v>1246</v>
      </c>
      <c r="C2" t="s">
        <v>874</v>
      </c>
      <c r="D2" t="s">
        <v>1091</v>
      </c>
      <c r="E2" t="s">
        <v>1065</v>
      </c>
      <c r="F2" t="s">
        <v>1057</v>
      </c>
      <c r="G2" s="7" t="s">
        <v>1831</v>
      </c>
    </row>
    <row r="3" spans="1:9" x14ac:dyDescent="0.25">
      <c r="A3" s="8" t="s">
        <v>1807</v>
      </c>
      <c r="B3" t="s">
        <v>849</v>
      </c>
      <c r="D3" t="s">
        <v>1167</v>
      </c>
      <c r="E3" t="s">
        <v>978</v>
      </c>
      <c r="F3" t="s">
        <v>837</v>
      </c>
    </row>
    <row r="4" spans="1:9" x14ac:dyDescent="0.25">
      <c r="A4" s="8" t="s">
        <v>1808</v>
      </c>
      <c r="B4" t="s">
        <v>862</v>
      </c>
      <c r="D4" t="s">
        <v>938</v>
      </c>
      <c r="E4" t="s">
        <v>1681</v>
      </c>
    </row>
    <row r="5" spans="1:9" x14ac:dyDescent="0.25">
      <c r="A5" s="8" t="s">
        <v>1809</v>
      </c>
      <c r="B5" t="s">
        <v>1425</v>
      </c>
    </row>
    <row r="6" spans="1:9" x14ac:dyDescent="0.25">
      <c r="A6" s="8" t="s">
        <v>1810</v>
      </c>
      <c r="B6" t="s">
        <v>857</v>
      </c>
    </row>
    <row r="7" spans="1:9" x14ac:dyDescent="0.25">
      <c r="A7" s="7" t="s">
        <v>1831</v>
      </c>
      <c r="B7" t="s">
        <v>918</v>
      </c>
    </row>
    <row r="8" spans="1:9" x14ac:dyDescent="0.25">
      <c r="B8" t="s">
        <v>1281</v>
      </c>
    </row>
    <row r="9" spans="1:9" x14ac:dyDescent="0.25">
      <c r="B9" s="7" t="s">
        <v>1831</v>
      </c>
    </row>
    <row r="10" spans="1:9" x14ac:dyDescent="0.25">
      <c r="B10" s="2" t="s">
        <v>1246</v>
      </c>
      <c r="C10" s="2" t="s">
        <v>874</v>
      </c>
      <c r="D10" s="2" t="s">
        <v>1091</v>
      </c>
      <c r="E10" s="2" t="s">
        <v>1065</v>
      </c>
      <c r="F10" s="2" t="s">
        <v>1057</v>
      </c>
      <c r="G10" s="2" t="s">
        <v>1832</v>
      </c>
    </row>
    <row r="11" spans="1:9" x14ac:dyDescent="0.25">
      <c r="B11" t="s">
        <v>1247</v>
      </c>
      <c r="C11" t="s">
        <v>1604</v>
      </c>
      <c r="D11" t="s">
        <v>1092</v>
      </c>
      <c r="E11" t="s">
        <v>1669</v>
      </c>
      <c r="F11" t="s">
        <v>1058</v>
      </c>
      <c r="G11" s="7" t="s">
        <v>1831</v>
      </c>
    </row>
    <row r="12" spans="1:9" x14ac:dyDescent="0.25">
      <c r="C12" t="s">
        <v>875</v>
      </c>
      <c r="E12" t="s">
        <v>1352</v>
      </c>
    </row>
    <row r="13" spans="1:9" x14ac:dyDescent="0.25">
      <c r="E13" t="s">
        <v>1066</v>
      </c>
    </row>
    <row r="15" spans="1:9" x14ac:dyDescent="0.25">
      <c r="B15" s="2" t="s">
        <v>849</v>
      </c>
      <c r="D15" s="2" t="s">
        <v>1167</v>
      </c>
      <c r="E15" s="2" t="s">
        <v>978</v>
      </c>
      <c r="F15" s="2" t="s">
        <v>837</v>
      </c>
      <c r="I15" s="2"/>
    </row>
    <row r="16" spans="1:9" x14ac:dyDescent="0.25">
      <c r="B16" t="s">
        <v>850</v>
      </c>
      <c r="D16" t="s">
        <v>1168</v>
      </c>
      <c r="E16" t="s">
        <v>1316</v>
      </c>
      <c r="F16" t="s">
        <v>880</v>
      </c>
    </row>
    <row r="17" spans="2:6" x14ac:dyDescent="0.25">
      <c r="B17" t="s">
        <v>1022</v>
      </c>
      <c r="D17" t="s">
        <v>1728</v>
      </c>
      <c r="E17" t="s">
        <v>1707</v>
      </c>
      <c r="F17" t="s">
        <v>838</v>
      </c>
    </row>
    <row r="18" spans="2:6" x14ac:dyDescent="0.25">
      <c r="B18" t="s">
        <v>867</v>
      </c>
      <c r="E18" t="s">
        <v>979</v>
      </c>
      <c r="F18" t="s">
        <v>1142</v>
      </c>
    </row>
    <row r="19" spans="2:6" x14ac:dyDescent="0.25">
      <c r="B19" t="s">
        <v>1035</v>
      </c>
      <c r="E19" t="s">
        <v>1699</v>
      </c>
      <c r="F19" t="s">
        <v>983</v>
      </c>
    </row>
    <row r="20" spans="2:6" x14ac:dyDescent="0.25">
      <c r="B20" t="s">
        <v>989</v>
      </c>
    </row>
    <row r="22" spans="2:6" x14ac:dyDescent="0.25">
      <c r="B22" s="2" t="s">
        <v>1828</v>
      </c>
      <c r="D22" s="2" t="s">
        <v>938</v>
      </c>
      <c r="E22" s="2" t="s">
        <v>1681</v>
      </c>
    </row>
    <row r="23" spans="2:6" x14ac:dyDescent="0.25">
      <c r="B23" t="s">
        <v>889</v>
      </c>
      <c r="D23" t="s">
        <v>939</v>
      </c>
      <c r="E23" t="s">
        <v>1682</v>
      </c>
    </row>
    <row r="24" spans="2:6" x14ac:dyDescent="0.25">
      <c r="B24" t="s">
        <v>1206</v>
      </c>
    </row>
    <row r="25" spans="2:6" x14ac:dyDescent="0.25">
      <c r="B25" t="s">
        <v>863</v>
      </c>
    </row>
    <row r="26" spans="2:6" x14ac:dyDescent="0.25">
      <c r="B26" t="s">
        <v>1529</v>
      </c>
    </row>
    <row r="27" spans="2:6" x14ac:dyDescent="0.25">
      <c r="B27" t="s">
        <v>968</v>
      </c>
    </row>
    <row r="28" spans="2:6" x14ac:dyDescent="0.25">
      <c r="B28" t="s">
        <v>923</v>
      </c>
    </row>
    <row r="30" spans="2:6" x14ac:dyDescent="0.25">
      <c r="B30" s="2" t="s">
        <v>1425</v>
      </c>
    </row>
    <row r="31" spans="2:6" x14ac:dyDescent="0.25">
      <c r="B31" t="s">
        <v>1426</v>
      </c>
    </row>
    <row r="33" spans="1:7" x14ac:dyDescent="0.25">
      <c r="B33" s="2" t="s">
        <v>857</v>
      </c>
    </row>
    <row r="34" spans="1:7" x14ac:dyDescent="0.25">
      <c r="B34" t="s">
        <v>1124</v>
      </c>
    </row>
    <row r="35" spans="1:7" x14ac:dyDescent="0.25">
      <c r="B35" t="s">
        <v>858</v>
      </c>
    </row>
    <row r="37" spans="1:7" x14ac:dyDescent="0.25">
      <c r="B37" s="2" t="s">
        <v>918</v>
      </c>
    </row>
    <row r="38" spans="1:7" x14ac:dyDescent="0.25">
      <c r="B38" t="s">
        <v>919</v>
      </c>
    </row>
    <row r="40" spans="1:7" x14ac:dyDescent="0.25">
      <c r="B40" s="2" t="s">
        <v>1281</v>
      </c>
    </row>
    <row r="41" spans="1:7" x14ac:dyDescent="0.25">
      <c r="B41" s="5" t="s">
        <v>1282</v>
      </c>
    </row>
    <row r="42" spans="1:7" s="17" customFormat="1" x14ac:dyDescent="0.25">
      <c r="A42" s="16" t="s">
        <v>1830</v>
      </c>
    </row>
    <row r="43" spans="1:7" x14ac:dyDescent="0.25">
      <c r="B43" s="2" t="s">
        <v>1247</v>
      </c>
      <c r="C43" s="2" t="s">
        <v>1604</v>
      </c>
      <c r="D43" s="2" t="s">
        <v>1092</v>
      </c>
      <c r="E43" s="2" t="s">
        <v>1669</v>
      </c>
      <c r="F43" s="2" t="s">
        <v>1058</v>
      </c>
      <c r="G43" s="2" t="s">
        <v>1832</v>
      </c>
    </row>
    <row r="44" spans="1:7" x14ac:dyDescent="0.25">
      <c r="B44" t="s">
        <v>1248</v>
      </c>
      <c r="C44" t="s">
        <v>1605</v>
      </c>
      <c r="D44" t="s">
        <v>1093</v>
      </c>
      <c r="E44" t="s">
        <v>1670</v>
      </c>
      <c r="F44" s="5" t="s">
        <v>1059</v>
      </c>
      <c r="G44" s="7" t="s">
        <v>1831</v>
      </c>
    </row>
    <row r="46" spans="1:7" x14ac:dyDescent="0.25">
      <c r="B46" s="2" t="s">
        <v>850</v>
      </c>
      <c r="C46" s="2" t="s">
        <v>875</v>
      </c>
      <c r="D46" s="2" t="s">
        <v>1168</v>
      </c>
      <c r="E46" s="2" t="s">
        <v>1352</v>
      </c>
      <c r="F46" s="2" t="s">
        <v>880</v>
      </c>
    </row>
    <row r="47" spans="1:7" x14ac:dyDescent="0.25">
      <c r="B47" t="s">
        <v>1620</v>
      </c>
      <c r="C47" t="s">
        <v>876</v>
      </c>
      <c r="D47" t="s">
        <v>1169</v>
      </c>
      <c r="E47" t="s">
        <v>1353</v>
      </c>
      <c r="F47" t="s">
        <v>1111</v>
      </c>
    </row>
    <row r="48" spans="1:7" x14ac:dyDescent="0.25">
      <c r="B48" t="s">
        <v>1734</v>
      </c>
      <c r="C48" t="s">
        <v>1226</v>
      </c>
      <c r="F48" t="s">
        <v>1200</v>
      </c>
    </row>
    <row r="49" spans="2:6" x14ac:dyDescent="0.25">
      <c r="B49" t="s">
        <v>851</v>
      </c>
      <c r="C49" t="s">
        <v>1747</v>
      </c>
      <c r="F49" t="s">
        <v>881</v>
      </c>
    </row>
    <row r="50" spans="2:6" x14ac:dyDescent="0.25">
      <c r="B50" s="2"/>
      <c r="F50" t="s">
        <v>1195</v>
      </c>
    </row>
    <row r="51" spans="2:6" x14ac:dyDescent="0.25">
      <c r="B51" s="2" t="s">
        <v>1022</v>
      </c>
      <c r="D51" s="2" t="s">
        <v>1728</v>
      </c>
      <c r="E51" s="2" t="s">
        <v>1066</v>
      </c>
      <c r="F51" t="s">
        <v>1172</v>
      </c>
    </row>
    <row r="52" spans="2:6" x14ac:dyDescent="0.25">
      <c r="B52" t="s">
        <v>1023</v>
      </c>
      <c r="D52" t="s">
        <v>1729</v>
      </c>
      <c r="E52" t="s">
        <v>1541</v>
      </c>
      <c r="F52" t="s">
        <v>915</v>
      </c>
    </row>
    <row r="53" spans="2:6" x14ac:dyDescent="0.25">
      <c r="B53" s="2"/>
      <c r="E53" t="s">
        <v>1737</v>
      </c>
      <c r="F53" t="s">
        <v>1298</v>
      </c>
    </row>
    <row r="54" spans="2:6" x14ac:dyDescent="0.25">
      <c r="B54" s="2" t="s">
        <v>867</v>
      </c>
      <c r="D54" s="2" t="s">
        <v>939</v>
      </c>
      <c r="E54" t="s">
        <v>1262</v>
      </c>
    </row>
    <row r="55" spans="2:6" x14ac:dyDescent="0.25">
      <c r="B55" t="s">
        <v>1121</v>
      </c>
      <c r="D55" t="s">
        <v>1550</v>
      </c>
      <c r="E55" t="s">
        <v>1067</v>
      </c>
    </row>
    <row r="56" spans="2:6" x14ac:dyDescent="0.25">
      <c r="B56" t="s">
        <v>884</v>
      </c>
      <c r="D56" t="s">
        <v>940</v>
      </c>
      <c r="E56" t="s">
        <v>1476</v>
      </c>
    </row>
    <row r="57" spans="2:6" x14ac:dyDescent="0.25">
      <c r="B57" t="s">
        <v>871</v>
      </c>
      <c r="F57" s="2" t="s">
        <v>838</v>
      </c>
    </row>
    <row r="58" spans="2:6" x14ac:dyDescent="0.25">
      <c r="B58" t="s">
        <v>868</v>
      </c>
      <c r="F58" t="s">
        <v>1311</v>
      </c>
    </row>
    <row r="59" spans="2:6" x14ac:dyDescent="0.25">
      <c r="B59" t="s">
        <v>928</v>
      </c>
      <c r="F59" t="s">
        <v>907</v>
      </c>
    </row>
    <row r="60" spans="2:6" x14ac:dyDescent="0.25">
      <c r="B60" t="s">
        <v>1029</v>
      </c>
      <c r="F60" t="s">
        <v>1190</v>
      </c>
    </row>
    <row r="61" spans="2:6" x14ac:dyDescent="0.25">
      <c r="B61" t="s">
        <v>1457</v>
      </c>
      <c r="F61" t="s">
        <v>900</v>
      </c>
    </row>
    <row r="62" spans="2:6" x14ac:dyDescent="0.25">
      <c r="B62" t="s">
        <v>1252</v>
      </c>
      <c r="F62" t="s">
        <v>1381</v>
      </c>
    </row>
    <row r="63" spans="2:6" x14ac:dyDescent="0.25">
      <c r="E63" s="2" t="s">
        <v>1316</v>
      </c>
      <c r="F63" t="s">
        <v>1175</v>
      </c>
    </row>
    <row r="64" spans="2:6" x14ac:dyDescent="0.25">
      <c r="B64" s="2" t="s">
        <v>1035</v>
      </c>
      <c r="E64" t="s">
        <v>1317</v>
      </c>
      <c r="F64" t="s">
        <v>842</v>
      </c>
    </row>
    <row r="65" spans="2:6" x14ac:dyDescent="0.25">
      <c r="B65" t="s">
        <v>1036</v>
      </c>
      <c r="F65" t="s">
        <v>1054</v>
      </c>
    </row>
    <row r="66" spans="2:6" x14ac:dyDescent="0.25">
      <c r="B66" s="2"/>
      <c r="F66" t="s">
        <v>953</v>
      </c>
    </row>
    <row r="67" spans="2:6" x14ac:dyDescent="0.25">
      <c r="B67" s="2" t="s">
        <v>989</v>
      </c>
      <c r="E67" s="2" t="s">
        <v>1707</v>
      </c>
      <c r="F67" t="s">
        <v>1514</v>
      </c>
    </row>
    <row r="68" spans="2:6" x14ac:dyDescent="0.25">
      <c r="B68" t="s">
        <v>990</v>
      </c>
      <c r="E68" t="s">
        <v>1708</v>
      </c>
      <c r="F68" t="s">
        <v>846</v>
      </c>
    </row>
    <row r="69" spans="2:6" x14ac:dyDescent="0.25">
      <c r="B69" s="2"/>
      <c r="F69" t="s">
        <v>1524</v>
      </c>
    </row>
    <row r="70" spans="2:6" x14ac:dyDescent="0.25">
      <c r="B70" s="2"/>
      <c r="F70" t="s">
        <v>1239</v>
      </c>
    </row>
    <row r="71" spans="2:6" x14ac:dyDescent="0.25">
      <c r="B71" s="2" t="s">
        <v>889</v>
      </c>
      <c r="E71" s="2" t="s">
        <v>979</v>
      </c>
      <c r="F71" t="s">
        <v>839</v>
      </c>
    </row>
    <row r="72" spans="2:6" x14ac:dyDescent="0.25">
      <c r="B72" t="s">
        <v>890</v>
      </c>
      <c r="E72" t="s">
        <v>980</v>
      </c>
      <c r="F72" t="s">
        <v>1107</v>
      </c>
    </row>
    <row r="73" spans="2:6" x14ac:dyDescent="0.25">
      <c r="B73" t="s">
        <v>1258</v>
      </c>
      <c r="F73" t="s">
        <v>1026</v>
      </c>
    </row>
    <row r="74" spans="2:6" x14ac:dyDescent="0.25">
      <c r="B74" t="s">
        <v>1232</v>
      </c>
      <c r="E74" s="2" t="s">
        <v>1699</v>
      </c>
      <c r="F74" t="s">
        <v>1493</v>
      </c>
    </row>
    <row r="75" spans="2:6" x14ac:dyDescent="0.25">
      <c r="B75" t="s">
        <v>1075</v>
      </c>
      <c r="E75" t="s">
        <v>1700</v>
      </c>
      <c r="F75" t="s">
        <v>959</v>
      </c>
    </row>
    <row r="76" spans="2:6" x14ac:dyDescent="0.25">
      <c r="B76" t="s">
        <v>1471</v>
      </c>
      <c r="F76" t="s">
        <v>1288</v>
      </c>
    </row>
    <row r="77" spans="2:6" x14ac:dyDescent="0.25">
      <c r="B77" t="s">
        <v>1589</v>
      </c>
      <c r="E77" s="2" t="s">
        <v>1682</v>
      </c>
      <c r="F77" t="s">
        <v>1609</v>
      </c>
    </row>
    <row r="78" spans="2:6" x14ac:dyDescent="0.25">
      <c r="B78" t="s">
        <v>910</v>
      </c>
      <c r="E78" t="s">
        <v>1683</v>
      </c>
      <c r="F78" t="s">
        <v>963</v>
      </c>
    </row>
    <row r="79" spans="2:6" x14ac:dyDescent="0.25">
      <c r="B79" t="s">
        <v>1357</v>
      </c>
      <c r="F79" t="s">
        <v>854</v>
      </c>
    </row>
    <row r="80" spans="2:6" x14ac:dyDescent="0.25">
      <c r="F80" t="s">
        <v>1014</v>
      </c>
    </row>
    <row r="81" spans="2:6" x14ac:dyDescent="0.25">
      <c r="B81" s="6" t="s">
        <v>1206</v>
      </c>
      <c r="F81" t="s">
        <v>1341</v>
      </c>
    </row>
    <row r="82" spans="2:6" x14ac:dyDescent="0.25">
      <c r="B82" t="s">
        <v>1207</v>
      </c>
      <c r="F82" t="s">
        <v>1762</v>
      </c>
    </row>
    <row r="84" spans="2:6" x14ac:dyDescent="0.25">
      <c r="B84" s="2" t="s">
        <v>863</v>
      </c>
      <c r="F84" s="2" t="s">
        <v>1142</v>
      </c>
    </row>
    <row r="85" spans="2:6" x14ac:dyDescent="0.25">
      <c r="B85" s="5" t="s">
        <v>950</v>
      </c>
      <c r="F85" t="s">
        <v>1143</v>
      </c>
    </row>
    <row r="86" spans="2:6" x14ac:dyDescent="0.25">
      <c r="B86" s="5" t="s">
        <v>897</v>
      </c>
    </row>
    <row r="87" spans="2:6" x14ac:dyDescent="0.25">
      <c r="B87" s="5" t="s">
        <v>1116</v>
      </c>
      <c r="F87" s="2" t="s">
        <v>983</v>
      </c>
    </row>
    <row r="88" spans="2:6" x14ac:dyDescent="0.25">
      <c r="B88" s="5" t="s">
        <v>1407</v>
      </c>
      <c r="F88" t="s">
        <v>1586</v>
      </c>
    </row>
    <row r="89" spans="2:6" x14ac:dyDescent="0.25">
      <c r="B89" s="5" t="s">
        <v>1265</v>
      </c>
      <c r="F89" t="s">
        <v>984</v>
      </c>
    </row>
    <row r="90" spans="2:6" x14ac:dyDescent="0.25">
      <c r="B90" s="5" t="s">
        <v>864</v>
      </c>
    </row>
    <row r="91" spans="2:6" x14ac:dyDescent="0.25">
      <c r="B91" s="5" t="s">
        <v>1703</v>
      </c>
    </row>
    <row r="92" spans="2:6" x14ac:dyDescent="0.25">
      <c r="B92" s="5" t="s">
        <v>1440</v>
      </c>
    </row>
    <row r="94" spans="2:6" x14ac:dyDescent="0.25">
      <c r="B94" s="2" t="s">
        <v>1529</v>
      </c>
    </row>
    <row r="95" spans="2:6" x14ac:dyDescent="0.25">
      <c r="B95" t="s">
        <v>1530</v>
      </c>
    </row>
    <row r="97" spans="2:2" x14ac:dyDescent="0.25">
      <c r="B97" s="2" t="s">
        <v>968</v>
      </c>
    </row>
    <row r="98" spans="2:2" x14ac:dyDescent="0.25">
      <c r="B98" t="s">
        <v>1002</v>
      </c>
    </row>
    <row r="99" spans="2:2" x14ac:dyDescent="0.25">
      <c r="B99" t="s">
        <v>1045</v>
      </c>
    </row>
    <row r="100" spans="2:2" x14ac:dyDescent="0.25">
      <c r="B100" t="s">
        <v>1533</v>
      </c>
    </row>
    <row r="101" spans="2:2" x14ac:dyDescent="0.25">
      <c r="B101" t="s">
        <v>969</v>
      </c>
    </row>
    <row r="102" spans="2:2" x14ac:dyDescent="0.25">
      <c r="B102" t="s">
        <v>1486</v>
      </c>
    </row>
    <row r="103" spans="2:2" x14ac:dyDescent="0.25">
      <c r="B103" t="s">
        <v>1215</v>
      </c>
    </row>
    <row r="104" spans="2:2" x14ac:dyDescent="0.25">
      <c r="B104" t="s">
        <v>1229</v>
      </c>
    </row>
    <row r="105" spans="2:2" x14ac:dyDescent="0.25">
      <c r="B105" t="s">
        <v>972</v>
      </c>
    </row>
    <row r="107" spans="2:2" x14ac:dyDescent="0.25">
      <c r="B107" s="2" t="s">
        <v>923</v>
      </c>
    </row>
    <row r="108" spans="2:2" x14ac:dyDescent="0.25">
      <c r="B108" t="s">
        <v>924</v>
      </c>
    </row>
    <row r="109" spans="2:2" x14ac:dyDescent="0.25">
      <c r="B109" t="s">
        <v>1080</v>
      </c>
    </row>
    <row r="111" spans="2:2" x14ac:dyDescent="0.25">
      <c r="B111" s="2" t="s">
        <v>1426</v>
      </c>
    </row>
    <row r="112" spans="2:2" x14ac:dyDescent="0.25">
      <c r="B112" t="s">
        <v>1427</v>
      </c>
    </row>
    <row r="115" spans="2:2" x14ac:dyDescent="0.25">
      <c r="B115" s="2" t="s">
        <v>1124</v>
      </c>
    </row>
    <row r="116" spans="2:2" x14ac:dyDescent="0.25">
      <c r="B116" t="s">
        <v>1182</v>
      </c>
    </row>
    <row r="117" spans="2:2" x14ac:dyDescent="0.25">
      <c r="B117" t="s">
        <v>1370</v>
      </c>
    </row>
    <row r="118" spans="2:2" x14ac:dyDescent="0.25">
      <c r="B118" t="s">
        <v>1396</v>
      </c>
    </row>
    <row r="119" spans="2:2" x14ac:dyDescent="0.25">
      <c r="B119" t="s">
        <v>1652</v>
      </c>
    </row>
    <row r="120" spans="2:2" x14ac:dyDescent="0.25">
      <c r="B120" t="s">
        <v>1125</v>
      </c>
    </row>
    <row r="122" spans="2:2" x14ac:dyDescent="0.25">
      <c r="B122" s="2" t="s">
        <v>858</v>
      </c>
    </row>
    <row r="123" spans="2:2" x14ac:dyDescent="0.25">
      <c r="B123" t="s">
        <v>1568</v>
      </c>
    </row>
    <row r="124" spans="2:2" x14ac:dyDescent="0.25">
      <c r="B124" t="s">
        <v>859</v>
      </c>
    </row>
    <row r="126" spans="2:2" x14ac:dyDescent="0.25">
      <c r="B126" s="2" t="s">
        <v>919</v>
      </c>
    </row>
    <row r="127" spans="2:2" x14ac:dyDescent="0.25">
      <c r="B127" t="s">
        <v>943</v>
      </c>
    </row>
    <row r="128" spans="2:2" x14ac:dyDescent="0.25">
      <c r="B128" t="s">
        <v>1412</v>
      </c>
    </row>
    <row r="129" spans="1:7" x14ac:dyDescent="0.25">
      <c r="B129" t="s">
        <v>920</v>
      </c>
    </row>
    <row r="130" spans="1:7" x14ac:dyDescent="0.25">
      <c r="B130" t="s">
        <v>1178</v>
      </c>
    </row>
    <row r="132" spans="1:7" x14ac:dyDescent="0.25">
      <c r="B132" s="6" t="s">
        <v>1282</v>
      </c>
    </row>
    <row r="133" spans="1:7" x14ac:dyDescent="0.25">
      <c r="B133" t="s">
        <v>1283</v>
      </c>
    </row>
    <row r="135" spans="1:7" s="17" customFormat="1" x14ac:dyDescent="0.25">
      <c r="A135" s="16" t="s">
        <v>1833</v>
      </c>
      <c r="B135" s="16" t="s">
        <v>1248</v>
      </c>
      <c r="C135" s="18" t="s">
        <v>1605</v>
      </c>
      <c r="D135" s="16" t="s">
        <v>1093</v>
      </c>
      <c r="E135" s="16" t="s">
        <v>1670</v>
      </c>
      <c r="F135" s="6" t="s">
        <v>1059</v>
      </c>
      <c r="G135" s="2" t="s">
        <v>1832</v>
      </c>
    </row>
    <row r="136" spans="1:7" x14ac:dyDescent="0.25">
      <c r="B136" t="s">
        <v>1249</v>
      </c>
      <c r="C136" t="s">
        <v>1606</v>
      </c>
      <c r="D136" t="s">
        <v>1094</v>
      </c>
      <c r="E136" t="s">
        <v>1671</v>
      </c>
      <c r="F136" t="s">
        <v>1060</v>
      </c>
      <c r="G136" s="7" t="s">
        <v>1831</v>
      </c>
    </row>
    <row r="138" spans="1:7" x14ac:dyDescent="0.25">
      <c r="B138" s="2" t="s">
        <v>1620</v>
      </c>
      <c r="C138" s="2" t="s">
        <v>876</v>
      </c>
      <c r="D138" s="2" t="s">
        <v>1169</v>
      </c>
      <c r="E138" s="2" t="s">
        <v>1353</v>
      </c>
      <c r="F138" s="6" t="s">
        <v>1111</v>
      </c>
      <c r="G138" s="2"/>
    </row>
    <row r="139" spans="1:7" x14ac:dyDescent="0.25">
      <c r="B139" t="s">
        <v>1621</v>
      </c>
      <c r="C139" t="s">
        <v>877</v>
      </c>
      <c r="D139" t="s">
        <v>1170</v>
      </c>
      <c r="E139" t="s">
        <v>1354</v>
      </c>
      <c r="F139" t="s">
        <v>1112</v>
      </c>
    </row>
    <row r="140" spans="1:7" x14ac:dyDescent="0.25">
      <c r="F140" t="s">
        <v>1193</v>
      </c>
    </row>
    <row r="141" spans="1:7" x14ac:dyDescent="0.25">
      <c r="B141" s="2" t="s">
        <v>1734</v>
      </c>
      <c r="C141" s="2" t="s">
        <v>1226</v>
      </c>
      <c r="D141" s="2" t="s">
        <v>1729</v>
      </c>
      <c r="E141" s="2" t="s">
        <v>1541</v>
      </c>
    </row>
    <row r="142" spans="1:7" x14ac:dyDescent="0.25">
      <c r="B142" t="s">
        <v>1735</v>
      </c>
      <c r="C142" t="s">
        <v>1227</v>
      </c>
      <c r="D142" t="s">
        <v>1730</v>
      </c>
      <c r="E142" t="s">
        <v>1542</v>
      </c>
      <c r="F142" s="6" t="s">
        <v>1200</v>
      </c>
    </row>
    <row r="143" spans="1:7" x14ac:dyDescent="0.25">
      <c r="F143" t="s">
        <v>1201</v>
      </c>
    </row>
    <row r="144" spans="1:7" x14ac:dyDescent="0.25">
      <c r="B144" s="2" t="s">
        <v>851</v>
      </c>
      <c r="C144" s="2" t="s">
        <v>1747</v>
      </c>
      <c r="D144" s="2" t="s">
        <v>1550</v>
      </c>
      <c r="E144" s="2" t="s">
        <v>1737</v>
      </c>
    </row>
    <row r="145" spans="2:7" x14ac:dyDescent="0.25">
      <c r="B145" t="s">
        <v>1291</v>
      </c>
      <c r="C145" t="s">
        <v>1748</v>
      </c>
      <c r="D145" t="s">
        <v>1551</v>
      </c>
      <c r="E145" t="s">
        <v>1738</v>
      </c>
      <c r="F145" s="6" t="s">
        <v>881</v>
      </c>
    </row>
    <row r="146" spans="2:7" x14ac:dyDescent="0.25">
      <c r="B146" t="s">
        <v>852</v>
      </c>
      <c r="F146" t="s">
        <v>882</v>
      </c>
    </row>
    <row r="147" spans="2:7" x14ac:dyDescent="0.25">
      <c r="B147" t="s">
        <v>1612</v>
      </c>
      <c r="D147" s="2" t="s">
        <v>940</v>
      </c>
      <c r="E147" s="2" t="s">
        <v>1262</v>
      </c>
      <c r="F147" t="s">
        <v>895</v>
      </c>
    </row>
    <row r="148" spans="2:7" x14ac:dyDescent="0.25">
      <c r="B148" t="s">
        <v>1242</v>
      </c>
      <c r="D148" t="s">
        <v>941</v>
      </c>
      <c r="E148" t="s">
        <v>1263</v>
      </c>
      <c r="F148" t="s">
        <v>1078</v>
      </c>
    </row>
    <row r="150" spans="2:7" x14ac:dyDescent="0.25">
      <c r="B150" s="2" t="s">
        <v>1023</v>
      </c>
      <c r="E150" s="2" t="s">
        <v>1067</v>
      </c>
      <c r="F150" s="6" t="s">
        <v>1195</v>
      </c>
    </row>
    <row r="151" spans="2:7" x14ac:dyDescent="0.25">
      <c r="B151" t="s">
        <v>1024</v>
      </c>
      <c r="E151" t="s">
        <v>1068</v>
      </c>
      <c r="F151" t="s">
        <v>1712</v>
      </c>
    </row>
    <row r="152" spans="2:7" x14ac:dyDescent="0.25">
      <c r="F152" t="s">
        <v>1196</v>
      </c>
    </row>
    <row r="153" spans="2:7" x14ac:dyDescent="0.25">
      <c r="B153" s="2" t="s">
        <v>1121</v>
      </c>
      <c r="E153" s="2" t="s">
        <v>1476</v>
      </c>
    </row>
    <row r="154" spans="2:7" x14ac:dyDescent="0.25">
      <c r="B154" t="s">
        <v>1138</v>
      </c>
      <c r="E154" t="s">
        <v>1477</v>
      </c>
      <c r="F154" s="6" t="s">
        <v>1172</v>
      </c>
    </row>
    <row r="155" spans="2:7" x14ac:dyDescent="0.25">
      <c r="B155" t="s">
        <v>1122</v>
      </c>
      <c r="F155" t="s">
        <v>1173</v>
      </c>
      <c r="G155" s="2"/>
    </row>
    <row r="156" spans="2:7" x14ac:dyDescent="0.25">
      <c r="B156" t="s">
        <v>1453</v>
      </c>
      <c r="E156" s="2" t="s">
        <v>1317</v>
      </c>
    </row>
    <row r="157" spans="2:7" x14ac:dyDescent="0.25">
      <c r="E157" t="s">
        <v>1318</v>
      </c>
      <c r="F157" s="6" t="s">
        <v>915</v>
      </c>
    </row>
    <row r="158" spans="2:7" x14ac:dyDescent="0.25">
      <c r="B158" s="2" t="s">
        <v>884</v>
      </c>
      <c r="F158" t="s">
        <v>1153</v>
      </c>
    </row>
    <row r="159" spans="2:7" x14ac:dyDescent="0.25">
      <c r="B159" t="s">
        <v>1575</v>
      </c>
      <c r="E159" s="2" t="s">
        <v>1708</v>
      </c>
      <c r="F159" t="s">
        <v>916</v>
      </c>
      <c r="G159" s="2"/>
    </row>
    <row r="160" spans="2:7" x14ac:dyDescent="0.25">
      <c r="B160" t="s">
        <v>1375</v>
      </c>
      <c r="E160" t="s">
        <v>1709</v>
      </c>
      <c r="F160" t="s">
        <v>1725</v>
      </c>
    </row>
    <row r="161" spans="2:7" x14ac:dyDescent="0.25">
      <c r="B161" t="s">
        <v>1149</v>
      </c>
      <c r="G161" s="2"/>
    </row>
    <row r="162" spans="2:7" x14ac:dyDescent="0.25">
      <c r="B162" t="s">
        <v>885</v>
      </c>
      <c r="E162" s="2" t="s">
        <v>980</v>
      </c>
      <c r="F162" s="6" t="s">
        <v>1298</v>
      </c>
      <c r="G162" s="2"/>
    </row>
    <row r="163" spans="2:7" x14ac:dyDescent="0.25">
      <c r="B163" t="s">
        <v>931</v>
      </c>
      <c r="E163" t="s">
        <v>1592</v>
      </c>
      <c r="F163" t="s">
        <v>1299</v>
      </c>
      <c r="G163" s="2"/>
    </row>
    <row r="164" spans="2:7" x14ac:dyDescent="0.25">
      <c r="B164" t="s">
        <v>1011</v>
      </c>
      <c r="E164" t="s">
        <v>981</v>
      </c>
    </row>
    <row r="165" spans="2:7" x14ac:dyDescent="0.25">
      <c r="B165" t="s">
        <v>1295</v>
      </c>
    </row>
    <row r="166" spans="2:7" x14ac:dyDescent="0.25">
      <c r="B166" t="s">
        <v>936</v>
      </c>
      <c r="E166" s="2" t="s">
        <v>1700</v>
      </c>
      <c r="F166" s="2" t="s">
        <v>1311</v>
      </c>
    </row>
    <row r="167" spans="2:7" x14ac:dyDescent="0.25">
      <c r="B167" t="s">
        <v>1720</v>
      </c>
      <c r="E167" t="s">
        <v>1701</v>
      </c>
      <c r="F167" t="s">
        <v>1312</v>
      </c>
    </row>
    <row r="168" spans="2:7" x14ac:dyDescent="0.25">
      <c r="B168" t="s">
        <v>1033</v>
      </c>
      <c r="F168" t="s">
        <v>1557</v>
      </c>
    </row>
    <row r="169" spans="2:7" x14ac:dyDescent="0.25">
      <c r="B169" t="s">
        <v>1502</v>
      </c>
      <c r="E169" s="2" t="s">
        <v>1683</v>
      </c>
    </row>
    <row r="170" spans="2:7" x14ac:dyDescent="0.25">
      <c r="B170" t="s">
        <v>1571</v>
      </c>
      <c r="E170" t="s">
        <v>1684</v>
      </c>
      <c r="F170" s="2" t="s">
        <v>907</v>
      </c>
    </row>
    <row r="171" spans="2:7" x14ac:dyDescent="0.25">
      <c r="B171" t="s">
        <v>1489</v>
      </c>
      <c r="F171" t="s">
        <v>908</v>
      </c>
    </row>
    <row r="172" spans="2:7" x14ac:dyDescent="0.25">
      <c r="F172" t="s">
        <v>1467</v>
      </c>
    </row>
    <row r="173" spans="2:7" x14ac:dyDescent="0.25">
      <c r="B173" s="2" t="s">
        <v>871</v>
      </c>
    </row>
    <row r="174" spans="2:7" x14ac:dyDescent="0.25">
      <c r="B174" t="s">
        <v>905</v>
      </c>
      <c r="F174" s="2" t="s">
        <v>1190</v>
      </c>
    </row>
    <row r="175" spans="2:7" x14ac:dyDescent="0.25">
      <c r="B175" t="s">
        <v>1097</v>
      </c>
      <c r="F175" t="s">
        <v>1191</v>
      </c>
    </row>
    <row r="176" spans="2:7" x14ac:dyDescent="0.25">
      <c r="B176" t="s">
        <v>1658</v>
      </c>
    </row>
    <row r="177" spans="2:6" x14ac:dyDescent="0.25">
      <c r="B177" t="s">
        <v>1140</v>
      </c>
      <c r="F177" s="2" t="s">
        <v>900</v>
      </c>
    </row>
    <row r="178" spans="2:6" x14ac:dyDescent="0.25">
      <c r="B178" t="s">
        <v>872</v>
      </c>
      <c r="F178" t="s">
        <v>1050</v>
      </c>
    </row>
    <row r="179" spans="2:6" x14ac:dyDescent="0.25">
      <c r="B179" t="s">
        <v>1186</v>
      </c>
      <c r="F179" t="s">
        <v>901</v>
      </c>
    </row>
    <row r="180" spans="2:6" x14ac:dyDescent="0.25">
      <c r="B180" t="s">
        <v>1286</v>
      </c>
      <c r="F180" t="s">
        <v>933</v>
      </c>
    </row>
    <row r="181" spans="2:6" x14ac:dyDescent="0.25">
      <c r="B181" t="s">
        <v>913</v>
      </c>
      <c r="F181" t="s">
        <v>976</v>
      </c>
    </row>
    <row r="182" spans="2:6" x14ac:dyDescent="0.25">
      <c r="F182" t="s">
        <v>1421</v>
      </c>
    </row>
    <row r="183" spans="2:6" x14ac:dyDescent="0.25">
      <c r="B183" s="2" t="s">
        <v>868</v>
      </c>
      <c r="F183" t="s">
        <v>1548</v>
      </c>
    </row>
    <row r="184" spans="2:6" x14ac:dyDescent="0.25">
      <c r="B184" t="s">
        <v>869</v>
      </c>
      <c r="F184" t="s">
        <v>1527</v>
      </c>
    </row>
    <row r="185" spans="2:6" x14ac:dyDescent="0.25">
      <c r="B185" t="s">
        <v>893</v>
      </c>
      <c r="F185" t="s">
        <v>1688</v>
      </c>
    </row>
    <row r="186" spans="2:6" x14ac:dyDescent="0.25">
      <c r="B186" t="s">
        <v>946</v>
      </c>
    </row>
    <row r="187" spans="2:6" x14ac:dyDescent="0.25">
      <c r="B187" t="s">
        <v>997</v>
      </c>
      <c r="F187" s="2" t="s">
        <v>1381</v>
      </c>
    </row>
    <row r="188" spans="2:6" x14ac:dyDescent="0.25">
      <c r="B188" t="s">
        <v>993</v>
      </c>
      <c r="F188" t="s">
        <v>1382</v>
      </c>
    </row>
    <row r="189" spans="2:6" x14ac:dyDescent="0.25">
      <c r="B189" t="s">
        <v>1366</v>
      </c>
    </row>
    <row r="190" spans="2:6" x14ac:dyDescent="0.25">
      <c r="B190" t="s">
        <v>1156</v>
      </c>
      <c r="F190" s="2" t="s">
        <v>1175</v>
      </c>
    </row>
    <row r="191" spans="2:6" x14ac:dyDescent="0.25">
      <c r="B191" t="s">
        <v>1462</v>
      </c>
      <c r="F191" t="s">
        <v>1338</v>
      </c>
    </row>
    <row r="192" spans="2:6" x14ac:dyDescent="0.25">
      <c r="B192" t="s">
        <v>1164</v>
      </c>
      <c r="F192" t="s">
        <v>1176</v>
      </c>
    </row>
    <row r="193" spans="2:6" x14ac:dyDescent="0.25">
      <c r="B193" t="s">
        <v>1402</v>
      </c>
      <c r="F193" t="s">
        <v>1623</v>
      </c>
    </row>
    <row r="194" spans="2:6" x14ac:dyDescent="0.25">
      <c r="B194" t="s">
        <v>1293</v>
      </c>
    </row>
    <row r="195" spans="2:6" x14ac:dyDescent="0.25">
      <c r="B195" t="s">
        <v>1158</v>
      </c>
      <c r="F195" s="2" t="s">
        <v>842</v>
      </c>
    </row>
    <row r="196" spans="2:6" x14ac:dyDescent="0.25">
      <c r="B196" t="s">
        <v>1394</v>
      </c>
      <c r="F196" t="s">
        <v>843</v>
      </c>
    </row>
    <row r="197" spans="2:6" x14ac:dyDescent="0.25">
      <c r="B197" t="s">
        <v>1132</v>
      </c>
    </row>
    <row r="198" spans="2:6" x14ac:dyDescent="0.25">
      <c r="F198" s="2" t="s">
        <v>1054</v>
      </c>
    </row>
    <row r="199" spans="2:6" x14ac:dyDescent="0.25">
      <c r="B199" s="2" t="s">
        <v>928</v>
      </c>
      <c r="F199" t="s">
        <v>1055</v>
      </c>
    </row>
    <row r="200" spans="2:6" x14ac:dyDescent="0.25">
      <c r="B200" t="s">
        <v>948</v>
      </c>
      <c r="F200" t="s">
        <v>1600</v>
      </c>
    </row>
    <row r="201" spans="2:6" x14ac:dyDescent="0.25">
      <c r="B201" t="s">
        <v>1188</v>
      </c>
    </row>
    <row r="202" spans="2:6" x14ac:dyDescent="0.25">
      <c r="B202" t="s">
        <v>1455</v>
      </c>
      <c r="F202" s="2" t="s">
        <v>953</v>
      </c>
    </row>
    <row r="203" spans="2:6" x14ac:dyDescent="0.25">
      <c r="B203" t="s">
        <v>929</v>
      </c>
      <c r="F203" t="s">
        <v>954</v>
      </c>
    </row>
    <row r="204" spans="2:6" x14ac:dyDescent="0.25">
      <c r="B204" t="s">
        <v>1656</v>
      </c>
    </row>
    <row r="205" spans="2:6" x14ac:dyDescent="0.25">
      <c r="B205" t="s">
        <v>1740</v>
      </c>
      <c r="F205" s="2" t="s">
        <v>1514</v>
      </c>
    </row>
    <row r="206" spans="2:6" x14ac:dyDescent="0.25">
      <c r="F206" t="s">
        <v>1515</v>
      </c>
    </row>
    <row r="207" spans="2:6" x14ac:dyDescent="0.25">
      <c r="B207" s="2" t="s">
        <v>1029</v>
      </c>
    </row>
    <row r="208" spans="2:6" x14ac:dyDescent="0.25">
      <c r="B208" t="s">
        <v>1758</v>
      </c>
      <c r="F208" s="2" t="s">
        <v>846</v>
      </c>
    </row>
    <row r="209" spans="2:6" x14ac:dyDescent="0.25">
      <c r="B209" t="s">
        <v>1083</v>
      </c>
      <c r="F209" t="s">
        <v>847</v>
      </c>
    </row>
    <row r="210" spans="2:6" x14ac:dyDescent="0.25">
      <c r="B210" t="s">
        <v>1332</v>
      </c>
      <c r="F210" t="s">
        <v>1665</v>
      </c>
    </row>
    <row r="211" spans="2:6" x14ac:dyDescent="0.25">
      <c r="B211" t="s">
        <v>1348</v>
      </c>
      <c r="F211" t="s">
        <v>1255</v>
      </c>
    </row>
    <row r="212" spans="2:6" x14ac:dyDescent="0.25">
      <c r="B212" t="s">
        <v>1043</v>
      </c>
      <c r="F212" t="s">
        <v>1511</v>
      </c>
    </row>
    <row r="213" spans="2:6" x14ac:dyDescent="0.25">
      <c r="B213" t="s">
        <v>1223</v>
      </c>
      <c r="F213" t="s">
        <v>1018</v>
      </c>
    </row>
    <row r="214" spans="2:6" x14ac:dyDescent="0.25">
      <c r="B214" t="s">
        <v>1325</v>
      </c>
      <c r="F214" t="s">
        <v>1101</v>
      </c>
    </row>
    <row r="215" spans="2:6" x14ac:dyDescent="0.25">
      <c r="B215" t="s">
        <v>1692</v>
      </c>
    </row>
    <row r="216" spans="2:6" x14ac:dyDescent="0.25">
      <c r="B216" t="s">
        <v>1303</v>
      </c>
      <c r="F216" s="2" t="s">
        <v>1524</v>
      </c>
    </row>
    <row r="217" spans="2:6" x14ac:dyDescent="0.25">
      <c r="B217" t="s">
        <v>1697</v>
      </c>
      <c r="F217" t="s">
        <v>1525</v>
      </c>
    </row>
    <row r="218" spans="2:6" x14ac:dyDescent="0.25">
      <c r="B218" t="s">
        <v>1479</v>
      </c>
    </row>
    <row r="219" spans="2:6" x14ac:dyDescent="0.25">
      <c r="B219" t="s">
        <v>1563</v>
      </c>
      <c r="F219" s="2" t="s">
        <v>1239</v>
      </c>
    </row>
    <row r="220" spans="2:6" x14ac:dyDescent="0.25">
      <c r="B220" t="s">
        <v>1030</v>
      </c>
      <c r="F220" t="s">
        <v>1240</v>
      </c>
    </row>
    <row r="221" spans="2:6" x14ac:dyDescent="0.25">
      <c r="B221" t="s">
        <v>1086</v>
      </c>
      <c r="F221" t="s">
        <v>1509</v>
      </c>
    </row>
    <row r="222" spans="2:6" x14ac:dyDescent="0.25">
      <c r="F222" t="s">
        <v>1634</v>
      </c>
    </row>
    <row r="223" spans="2:6" x14ac:dyDescent="0.25">
      <c r="B223" s="2" t="s">
        <v>1457</v>
      </c>
    </row>
    <row r="224" spans="2:6" x14ac:dyDescent="0.25">
      <c r="B224" t="s">
        <v>1458</v>
      </c>
      <c r="F224" s="2" t="s">
        <v>839</v>
      </c>
    </row>
    <row r="225" spans="2:6" x14ac:dyDescent="0.25">
      <c r="F225" t="s">
        <v>840</v>
      </c>
    </row>
    <row r="226" spans="2:6" x14ac:dyDescent="0.25">
      <c r="B226" s="2" t="s">
        <v>1252</v>
      </c>
    </row>
    <row r="227" spans="2:6" x14ac:dyDescent="0.25">
      <c r="B227" t="s">
        <v>1253</v>
      </c>
      <c r="F227" s="2" t="s">
        <v>1107</v>
      </c>
    </row>
    <row r="228" spans="2:6" x14ac:dyDescent="0.25">
      <c r="F228" t="s">
        <v>1391</v>
      </c>
    </row>
    <row r="229" spans="2:6" x14ac:dyDescent="0.25">
      <c r="B229" s="2" t="s">
        <v>1036</v>
      </c>
      <c r="F229" t="s">
        <v>1108</v>
      </c>
    </row>
    <row r="230" spans="2:6" x14ac:dyDescent="0.25">
      <c r="B230" t="s">
        <v>1497</v>
      </c>
      <c r="F230" t="s">
        <v>1236</v>
      </c>
    </row>
    <row r="231" spans="2:6" x14ac:dyDescent="0.25">
      <c r="B231" t="s">
        <v>1482</v>
      </c>
      <c r="F231" t="s">
        <v>1384</v>
      </c>
    </row>
    <row r="232" spans="2:6" x14ac:dyDescent="0.25">
      <c r="B232" t="s">
        <v>1037</v>
      </c>
    </row>
    <row r="233" spans="2:6" x14ac:dyDescent="0.25">
      <c r="B233" t="s">
        <v>1582</v>
      </c>
      <c r="F233" s="2" t="s">
        <v>1026</v>
      </c>
    </row>
    <row r="234" spans="2:6" x14ac:dyDescent="0.25">
      <c r="B234" t="s">
        <v>1221</v>
      </c>
      <c r="F234" t="s">
        <v>1027</v>
      </c>
    </row>
    <row r="235" spans="2:6" x14ac:dyDescent="0.25">
      <c r="F235" t="s">
        <v>1465</v>
      </c>
    </row>
    <row r="236" spans="2:6" x14ac:dyDescent="0.25">
      <c r="B236" s="2" t="s">
        <v>990</v>
      </c>
    </row>
    <row r="237" spans="2:6" x14ac:dyDescent="0.25">
      <c r="B237" t="s">
        <v>991</v>
      </c>
      <c r="F237" s="2" t="s">
        <v>1493</v>
      </c>
    </row>
    <row r="238" spans="2:6" x14ac:dyDescent="0.25">
      <c r="F238" t="s">
        <v>1494</v>
      </c>
    </row>
    <row r="239" spans="2:6" x14ac:dyDescent="0.25">
      <c r="B239" s="2" t="s">
        <v>890</v>
      </c>
    </row>
    <row r="240" spans="2:6" x14ac:dyDescent="0.25">
      <c r="B240" t="s">
        <v>1423</v>
      </c>
      <c r="F240" s="2" t="s">
        <v>959</v>
      </c>
    </row>
    <row r="241" spans="2:6" x14ac:dyDescent="0.25">
      <c r="B241" t="s">
        <v>891</v>
      </c>
      <c r="F241" t="s">
        <v>960</v>
      </c>
    </row>
    <row r="242" spans="2:6" x14ac:dyDescent="0.25">
      <c r="F242" t="s">
        <v>1642</v>
      </c>
    </row>
    <row r="243" spans="2:6" x14ac:dyDescent="0.25">
      <c r="B243" s="2" t="s">
        <v>1258</v>
      </c>
    </row>
    <row r="244" spans="2:6" x14ac:dyDescent="0.25">
      <c r="B244" t="s">
        <v>1259</v>
      </c>
      <c r="F244" s="2" t="s">
        <v>1288</v>
      </c>
    </row>
    <row r="245" spans="2:6" x14ac:dyDescent="0.25">
      <c r="B245" t="s">
        <v>1268</v>
      </c>
      <c r="F245" t="s">
        <v>1559</v>
      </c>
    </row>
    <row r="246" spans="2:6" x14ac:dyDescent="0.25">
      <c r="F246" t="s">
        <v>1289</v>
      </c>
    </row>
    <row r="247" spans="2:6" x14ac:dyDescent="0.25">
      <c r="B247" s="2" t="s">
        <v>1232</v>
      </c>
    </row>
    <row r="248" spans="2:6" x14ac:dyDescent="0.25">
      <c r="B248" t="s">
        <v>1233</v>
      </c>
      <c r="F248" s="2" t="s">
        <v>1609</v>
      </c>
    </row>
    <row r="249" spans="2:6" x14ac:dyDescent="0.25">
      <c r="F249" t="s">
        <v>1610</v>
      </c>
    </row>
    <row r="250" spans="2:6" x14ac:dyDescent="0.25">
      <c r="B250" s="2" t="s">
        <v>1075</v>
      </c>
    </row>
    <row r="251" spans="2:6" x14ac:dyDescent="0.25">
      <c r="B251" t="s">
        <v>1363</v>
      </c>
      <c r="F251" s="2" t="s">
        <v>963</v>
      </c>
    </row>
    <row r="252" spans="2:6" x14ac:dyDescent="0.25">
      <c r="B252" t="s">
        <v>1076</v>
      </c>
      <c r="F252" t="s">
        <v>1323</v>
      </c>
    </row>
    <row r="253" spans="2:6" x14ac:dyDescent="0.25">
      <c r="B253" t="s">
        <v>1119</v>
      </c>
      <c r="F253" t="s">
        <v>1198</v>
      </c>
    </row>
    <row r="254" spans="2:6" x14ac:dyDescent="0.25">
      <c r="B254" t="s">
        <v>1432</v>
      </c>
      <c r="F254" t="s">
        <v>964</v>
      </c>
    </row>
    <row r="255" spans="2:6" x14ac:dyDescent="0.25">
      <c r="B255" t="s">
        <v>1520</v>
      </c>
      <c r="F255" t="s">
        <v>1114</v>
      </c>
    </row>
    <row r="256" spans="2:6" x14ac:dyDescent="0.25">
      <c r="B256" t="s">
        <v>1715</v>
      </c>
      <c r="F256" t="s">
        <v>1577</v>
      </c>
    </row>
    <row r="257" spans="2:6" x14ac:dyDescent="0.25">
      <c r="B257" t="s">
        <v>1278</v>
      </c>
    </row>
    <row r="258" spans="2:6" x14ac:dyDescent="0.25">
      <c r="F258" s="2" t="s">
        <v>854</v>
      </c>
    </row>
    <row r="259" spans="2:6" x14ac:dyDescent="0.25">
      <c r="B259" s="2" t="s">
        <v>1471</v>
      </c>
      <c r="F259" t="s">
        <v>1644</v>
      </c>
    </row>
    <row r="260" spans="2:6" x14ac:dyDescent="0.25">
      <c r="B260" t="s">
        <v>1472</v>
      </c>
      <c r="F260" t="s">
        <v>1410</v>
      </c>
    </row>
    <row r="261" spans="2:6" x14ac:dyDescent="0.25">
      <c r="F261" t="s">
        <v>1103</v>
      </c>
    </row>
    <row r="262" spans="2:6" x14ac:dyDescent="0.25">
      <c r="B262" s="2" t="s">
        <v>1589</v>
      </c>
      <c r="F262" t="s">
        <v>855</v>
      </c>
    </row>
    <row r="263" spans="2:6" x14ac:dyDescent="0.25">
      <c r="B263" t="s">
        <v>1590</v>
      </c>
      <c r="F263" t="s">
        <v>887</v>
      </c>
    </row>
    <row r="265" spans="2:6" x14ac:dyDescent="0.25">
      <c r="B265" s="2" t="s">
        <v>910</v>
      </c>
      <c r="F265" s="2" t="s">
        <v>1014</v>
      </c>
    </row>
    <row r="266" spans="2:6" x14ac:dyDescent="0.25">
      <c r="B266" t="s">
        <v>1105</v>
      </c>
      <c r="F266" t="s">
        <v>1015</v>
      </c>
    </row>
    <row r="267" spans="2:6" x14ac:dyDescent="0.25">
      <c r="B267" t="s">
        <v>911</v>
      </c>
      <c r="F267" t="s">
        <v>1446</v>
      </c>
    </row>
    <row r="268" spans="2:6" x14ac:dyDescent="0.25">
      <c r="B268" t="s">
        <v>1650</v>
      </c>
    </row>
    <row r="269" spans="2:6" x14ac:dyDescent="0.25">
      <c r="F269" s="2" t="s">
        <v>1341</v>
      </c>
    </row>
    <row r="270" spans="2:6" x14ac:dyDescent="0.25">
      <c r="B270" s="2" t="s">
        <v>1357</v>
      </c>
      <c r="F270" t="s">
        <v>1342</v>
      </c>
    </row>
    <row r="271" spans="2:6" x14ac:dyDescent="0.25">
      <c r="B271" t="s">
        <v>1358</v>
      </c>
      <c r="F271" t="s">
        <v>1387</v>
      </c>
    </row>
    <row r="273" spans="2:7" x14ac:dyDescent="0.25">
      <c r="B273" s="2" t="s">
        <v>1207</v>
      </c>
      <c r="F273" s="2" t="s">
        <v>1762</v>
      </c>
    </row>
    <row r="274" spans="2:7" x14ac:dyDescent="0.25">
      <c r="B274" t="s">
        <v>1618</v>
      </c>
      <c r="F274" t="s">
        <v>1763</v>
      </c>
    </row>
    <row r="275" spans="2:7" x14ac:dyDescent="0.25">
      <c r="B275" t="s">
        <v>1208</v>
      </c>
    </row>
    <row r="276" spans="2:7" x14ac:dyDescent="0.25">
      <c r="B276" t="s">
        <v>1750</v>
      </c>
      <c r="F276" s="2" t="s">
        <v>1143</v>
      </c>
    </row>
    <row r="277" spans="2:7" x14ac:dyDescent="0.25">
      <c r="B277" t="s">
        <v>1378</v>
      </c>
      <c r="F277" s="15" t="s">
        <v>1144</v>
      </c>
      <c r="G277" s="2"/>
    </row>
    <row r="278" spans="2:7" x14ac:dyDescent="0.25">
      <c r="B278" t="s">
        <v>1566</v>
      </c>
      <c r="F278" s="15" t="s">
        <v>1554</v>
      </c>
      <c r="G278" s="2"/>
    </row>
    <row r="280" spans="2:7" x14ac:dyDescent="0.25">
      <c r="B280" s="6" t="s">
        <v>950</v>
      </c>
      <c r="F280" s="2" t="s">
        <v>1586</v>
      </c>
    </row>
    <row r="281" spans="2:7" x14ac:dyDescent="0.25">
      <c r="B281" t="s">
        <v>951</v>
      </c>
      <c r="F281" s="15" t="s">
        <v>1587</v>
      </c>
    </row>
    <row r="283" spans="2:7" x14ac:dyDescent="0.25">
      <c r="B283" s="6" t="s">
        <v>897</v>
      </c>
      <c r="F283" s="2" t="s">
        <v>984</v>
      </c>
    </row>
    <row r="284" spans="2:7" x14ac:dyDescent="0.25">
      <c r="B284" t="s">
        <v>898</v>
      </c>
      <c r="F284" s="15" t="s">
        <v>985</v>
      </c>
    </row>
    <row r="286" spans="2:7" x14ac:dyDescent="0.25">
      <c r="B286" s="6" t="s">
        <v>1116</v>
      </c>
    </row>
    <row r="287" spans="2:7" x14ac:dyDescent="0.25">
      <c r="B287" t="s">
        <v>1117</v>
      </c>
    </row>
    <row r="289" spans="2:2" x14ac:dyDescent="0.25">
      <c r="B289" s="6" t="s">
        <v>1407</v>
      </c>
    </row>
    <row r="290" spans="2:2" x14ac:dyDescent="0.25">
      <c r="B290" t="s">
        <v>1408</v>
      </c>
    </row>
    <row r="292" spans="2:2" x14ac:dyDescent="0.25">
      <c r="B292" s="6" t="s">
        <v>1265</v>
      </c>
    </row>
    <row r="293" spans="2:2" x14ac:dyDescent="0.25">
      <c r="B293" t="s">
        <v>1266</v>
      </c>
    </row>
    <row r="295" spans="2:2" x14ac:dyDescent="0.25">
      <c r="B295" s="6" t="s">
        <v>864</v>
      </c>
    </row>
    <row r="296" spans="2:2" x14ac:dyDescent="0.25">
      <c r="B296" t="s">
        <v>1130</v>
      </c>
    </row>
    <row r="297" spans="2:2" x14ac:dyDescent="0.25">
      <c r="B297" t="s">
        <v>903</v>
      </c>
    </row>
    <row r="298" spans="2:2" x14ac:dyDescent="0.25">
      <c r="B298" t="s">
        <v>1507</v>
      </c>
    </row>
    <row r="299" spans="2:2" x14ac:dyDescent="0.25">
      <c r="B299" t="s">
        <v>1561</v>
      </c>
    </row>
    <row r="300" spans="2:2" x14ac:dyDescent="0.25">
      <c r="B300" t="s">
        <v>1596</v>
      </c>
    </row>
    <row r="301" spans="2:2" x14ac:dyDescent="0.25">
      <c r="B301" t="s">
        <v>865</v>
      </c>
    </row>
    <row r="303" spans="2:2" x14ac:dyDescent="0.25">
      <c r="B303" s="6" t="s">
        <v>1703</v>
      </c>
    </row>
    <row r="304" spans="2:2" x14ac:dyDescent="0.25">
      <c r="B304" t="s">
        <v>1704</v>
      </c>
    </row>
    <row r="306" spans="2:2" x14ac:dyDescent="0.25">
      <c r="B306" s="6" t="s">
        <v>1440</v>
      </c>
    </row>
    <row r="307" spans="2:2" x14ac:dyDescent="0.25">
      <c r="B307" t="s">
        <v>1441</v>
      </c>
    </row>
    <row r="309" spans="2:2" x14ac:dyDescent="0.25">
      <c r="B309" s="2" t="s">
        <v>1530</v>
      </c>
    </row>
    <row r="310" spans="2:2" x14ac:dyDescent="0.25">
      <c r="B310" t="s">
        <v>1531</v>
      </c>
    </row>
    <row r="312" spans="2:2" x14ac:dyDescent="0.25">
      <c r="B312" s="2" t="s">
        <v>1002</v>
      </c>
    </row>
    <row r="313" spans="2:2" x14ac:dyDescent="0.25">
      <c r="B313" t="s">
        <v>1003</v>
      </c>
    </row>
    <row r="314" spans="2:2" x14ac:dyDescent="0.25">
      <c r="B314" t="s">
        <v>1041</v>
      </c>
    </row>
    <row r="315" spans="2:2" x14ac:dyDescent="0.25">
      <c r="B315" t="s">
        <v>1072</v>
      </c>
    </row>
    <row r="316" spans="2:2" x14ac:dyDescent="0.25">
      <c r="B316" t="s">
        <v>1678</v>
      </c>
    </row>
    <row r="318" spans="2:2" x14ac:dyDescent="0.25">
      <c r="B318" s="2" t="s">
        <v>1045</v>
      </c>
    </row>
    <row r="319" spans="2:2" x14ac:dyDescent="0.25">
      <c r="B319" t="s">
        <v>1046</v>
      </c>
    </row>
    <row r="320" spans="2:2" x14ac:dyDescent="0.25">
      <c r="B320" t="s">
        <v>1244</v>
      </c>
    </row>
    <row r="321" spans="2:2" x14ac:dyDescent="0.25">
      <c r="B321" t="s">
        <v>1314</v>
      </c>
    </row>
    <row r="322" spans="2:2" x14ac:dyDescent="0.25">
      <c r="B322" t="s">
        <v>1438</v>
      </c>
    </row>
    <row r="323" spans="2:2" x14ac:dyDescent="0.25">
      <c r="B323" t="s">
        <v>1451</v>
      </c>
    </row>
    <row r="324" spans="2:2" x14ac:dyDescent="0.25">
      <c r="B324" t="s">
        <v>1270</v>
      </c>
    </row>
    <row r="326" spans="2:2" x14ac:dyDescent="0.25">
      <c r="B326" s="2" t="s">
        <v>1533</v>
      </c>
    </row>
    <row r="327" spans="2:2" x14ac:dyDescent="0.25">
      <c r="B327" t="s">
        <v>1717</v>
      </c>
    </row>
    <row r="328" spans="2:2" x14ac:dyDescent="0.25">
      <c r="B328" t="s">
        <v>1534</v>
      </c>
    </row>
    <row r="330" spans="2:2" x14ac:dyDescent="0.25">
      <c r="B330" s="2" t="s">
        <v>969</v>
      </c>
    </row>
    <row r="331" spans="2:2" x14ac:dyDescent="0.25">
      <c r="B331" t="s">
        <v>970</v>
      </c>
    </row>
    <row r="333" spans="2:2" x14ac:dyDescent="0.25">
      <c r="B333" s="2" t="s">
        <v>1486</v>
      </c>
    </row>
    <row r="334" spans="2:2" x14ac:dyDescent="0.25">
      <c r="B334" t="s">
        <v>1487</v>
      </c>
    </row>
    <row r="336" spans="2:2" x14ac:dyDescent="0.25">
      <c r="B336" s="2" t="s">
        <v>1215</v>
      </c>
    </row>
    <row r="337" spans="2:2" x14ac:dyDescent="0.25">
      <c r="B337" t="s">
        <v>1216</v>
      </c>
    </row>
    <row r="339" spans="2:2" x14ac:dyDescent="0.25">
      <c r="B339" s="2" t="s">
        <v>1229</v>
      </c>
    </row>
    <row r="340" spans="2:2" x14ac:dyDescent="0.25">
      <c r="B340" t="s">
        <v>1230</v>
      </c>
    </row>
    <row r="342" spans="2:2" x14ac:dyDescent="0.25">
      <c r="B342" s="2" t="s">
        <v>972</v>
      </c>
    </row>
    <row r="343" spans="2:2" x14ac:dyDescent="0.25">
      <c r="B343" t="s">
        <v>1052</v>
      </c>
    </row>
    <row r="344" spans="2:2" x14ac:dyDescent="0.25">
      <c r="B344" t="s">
        <v>1474</v>
      </c>
    </row>
    <row r="345" spans="2:2" x14ac:dyDescent="0.25">
      <c r="B345" t="s">
        <v>1273</v>
      </c>
    </row>
    <row r="346" spans="2:2" x14ac:dyDescent="0.25">
      <c r="B346" t="s">
        <v>1334</v>
      </c>
    </row>
    <row r="347" spans="2:2" x14ac:dyDescent="0.25">
      <c r="B347" t="s">
        <v>1436</v>
      </c>
    </row>
    <row r="348" spans="2:2" x14ac:dyDescent="0.25">
      <c r="B348" t="s">
        <v>1443</v>
      </c>
    </row>
    <row r="349" spans="2:2" x14ac:dyDescent="0.25">
      <c r="B349" t="s">
        <v>973</v>
      </c>
    </row>
    <row r="351" spans="2:2" x14ac:dyDescent="0.25">
      <c r="B351" s="2" t="s">
        <v>924</v>
      </c>
    </row>
    <row r="352" spans="2:2" x14ac:dyDescent="0.25">
      <c r="B352" t="s">
        <v>999</v>
      </c>
    </row>
    <row r="353" spans="1:2" x14ac:dyDescent="0.25">
      <c r="B353" t="s">
        <v>925</v>
      </c>
    </row>
    <row r="354" spans="1:2" x14ac:dyDescent="0.25">
      <c r="B354" t="s">
        <v>1336</v>
      </c>
    </row>
    <row r="355" spans="1:2" x14ac:dyDescent="0.25">
      <c r="B355" t="s">
        <v>1350</v>
      </c>
    </row>
    <row r="356" spans="1:2" x14ac:dyDescent="0.25">
      <c r="B356" t="s">
        <v>1400</v>
      </c>
    </row>
    <row r="357" spans="1:2" x14ac:dyDescent="0.25">
      <c r="B357" t="s">
        <v>1598</v>
      </c>
    </row>
    <row r="358" spans="1:2" x14ac:dyDescent="0.25">
      <c r="B358" t="s">
        <v>1637</v>
      </c>
    </row>
    <row r="360" spans="1:2" x14ac:dyDescent="0.25">
      <c r="B360" s="2" t="s">
        <v>1080</v>
      </c>
    </row>
    <row r="361" spans="1:2" x14ac:dyDescent="0.25">
      <c r="B361" t="s">
        <v>1081</v>
      </c>
    </row>
    <row r="362" spans="1:2" x14ac:dyDescent="0.25">
      <c r="B362" t="s">
        <v>1089</v>
      </c>
    </row>
    <row r="363" spans="1:2" x14ac:dyDescent="0.25">
      <c r="B363" t="s">
        <v>1404</v>
      </c>
    </row>
    <row r="364" spans="1:2" x14ac:dyDescent="0.25">
      <c r="B364" t="s">
        <v>1517</v>
      </c>
    </row>
    <row r="366" spans="1:2" x14ac:dyDescent="0.25">
      <c r="A366" s="2"/>
    </row>
    <row r="367" spans="1:2" x14ac:dyDescent="0.25">
      <c r="B367" s="2" t="s">
        <v>1427</v>
      </c>
    </row>
    <row r="368" spans="1:2" x14ac:dyDescent="0.25">
      <c r="B368" t="s">
        <v>1428</v>
      </c>
    </row>
    <row r="370" spans="1:2" x14ac:dyDescent="0.25">
      <c r="A370" s="2"/>
    </row>
    <row r="371" spans="1:2" x14ac:dyDescent="0.25">
      <c r="B371" s="2" t="s">
        <v>1182</v>
      </c>
    </row>
    <row r="372" spans="1:2" x14ac:dyDescent="0.25">
      <c r="B372" t="s">
        <v>1183</v>
      </c>
    </row>
    <row r="373" spans="1:2" x14ac:dyDescent="0.25">
      <c r="B373" t="s">
        <v>1694</v>
      </c>
    </row>
    <row r="375" spans="1:2" x14ac:dyDescent="0.25">
      <c r="B375" s="2" t="s">
        <v>1370</v>
      </c>
    </row>
    <row r="376" spans="1:2" x14ac:dyDescent="0.25">
      <c r="B376" t="s">
        <v>1371</v>
      </c>
    </row>
    <row r="377" spans="1:2" x14ac:dyDescent="0.25">
      <c r="A377" s="2"/>
    </row>
    <row r="378" spans="1:2" x14ac:dyDescent="0.25">
      <c r="B378" s="2" t="s">
        <v>1396</v>
      </c>
    </row>
    <row r="379" spans="1:2" x14ac:dyDescent="0.25">
      <c r="B379" t="s">
        <v>1397</v>
      </c>
    </row>
    <row r="381" spans="1:2" x14ac:dyDescent="0.25">
      <c r="A381" s="2"/>
      <c r="B381" s="2" t="s">
        <v>1652</v>
      </c>
    </row>
    <row r="382" spans="1:2" x14ac:dyDescent="0.25">
      <c r="B382" t="s">
        <v>1653</v>
      </c>
    </row>
    <row r="384" spans="1:2" x14ac:dyDescent="0.25">
      <c r="B384" s="2" t="s">
        <v>1125</v>
      </c>
    </row>
    <row r="385" spans="1:2" x14ac:dyDescent="0.25">
      <c r="A385" s="2"/>
      <c r="B385" t="s">
        <v>1126</v>
      </c>
    </row>
    <row r="387" spans="1:2" x14ac:dyDescent="0.25">
      <c r="A387" s="6"/>
      <c r="B387" s="2" t="s">
        <v>1568</v>
      </c>
    </row>
    <row r="388" spans="1:2" x14ac:dyDescent="0.25">
      <c r="B388" t="s">
        <v>1569</v>
      </c>
    </row>
    <row r="390" spans="1:2" x14ac:dyDescent="0.25">
      <c r="B390" s="2" t="s">
        <v>859</v>
      </c>
    </row>
    <row r="391" spans="1:2" x14ac:dyDescent="0.25">
      <c r="B391" t="s">
        <v>860</v>
      </c>
    </row>
    <row r="392" spans="1:2" x14ac:dyDescent="0.25">
      <c r="B392" t="s">
        <v>957</v>
      </c>
    </row>
    <row r="393" spans="1:2" x14ac:dyDescent="0.25">
      <c r="B393" t="s">
        <v>1305</v>
      </c>
    </row>
    <row r="395" spans="1:2" x14ac:dyDescent="0.25">
      <c r="B395" s="2" t="s">
        <v>943</v>
      </c>
    </row>
    <row r="396" spans="1:2" x14ac:dyDescent="0.25">
      <c r="B396" t="s">
        <v>1020</v>
      </c>
    </row>
    <row r="397" spans="1:2" x14ac:dyDescent="0.25">
      <c r="B397" t="s">
        <v>944</v>
      </c>
    </row>
    <row r="399" spans="1:2" x14ac:dyDescent="0.25">
      <c r="B399" s="2" t="s">
        <v>1412</v>
      </c>
    </row>
    <row r="400" spans="1:2" x14ac:dyDescent="0.25">
      <c r="B400" t="s">
        <v>1413</v>
      </c>
    </row>
    <row r="402" spans="2:2" x14ac:dyDescent="0.25">
      <c r="B402" s="2" t="s">
        <v>920</v>
      </c>
    </row>
    <row r="403" spans="2:2" x14ac:dyDescent="0.25">
      <c r="B403" t="s">
        <v>921</v>
      </c>
    </row>
    <row r="405" spans="2:2" x14ac:dyDescent="0.25">
      <c r="B405" s="2" t="s">
        <v>1178</v>
      </c>
    </row>
    <row r="406" spans="2:2" x14ac:dyDescent="0.25">
      <c r="B406" t="s">
        <v>1179</v>
      </c>
    </row>
    <row r="407" spans="2:2" x14ac:dyDescent="0.25">
      <c r="B407" t="s">
        <v>1320</v>
      </c>
    </row>
    <row r="408" spans="2:2" x14ac:dyDescent="0.25">
      <c r="B408" t="s">
        <v>1602</v>
      </c>
    </row>
    <row r="409" spans="2:2" x14ac:dyDescent="0.25">
      <c r="B409" t="s">
        <v>1723</v>
      </c>
    </row>
    <row r="411" spans="2:2" x14ac:dyDescent="0.25">
      <c r="B411" s="2" t="s">
        <v>1283</v>
      </c>
    </row>
    <row r="412" spans="2:2" x14ac:dyDescent="0.25">
      <c r="B412" t="s">
        <v>1284</v>
      </c>
    </row>
  </sheetData>
  <sheetProtection password="DA93" sheet="1" objects="1" scenarios="1"/>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3:D450"/>
  <sheetViews>
    <sheetView workbookViewId="0">
      <selection activeCell="E439" sqref="E439"/>
    </sheetView>
  </sheetViews>
  <sheetFormatPr defaultColWidth="8.875" defaultRowHeight="15.75" x14ac:dyDescent="0.25"/>
  <cols>
    <col min="1" max="1" width="32.375" bestFit="1" customWidth="1"/>
    <col min="2" max="2" width="16.125" bestFit="1" customWidth="1"/>
    <col min="3" max="3" width="12.625" bestFit="1" customWidth="1"/>
    <col min="4" max="4" width="13.375" bestFit="1" customWidth="1"/>
    <col min="5" max="5" width="8.875" bestFit="1" customWidth="1"/>
    <col min="6" max="6" width="7.125" bestFit="1" customWidth="1"/>
    <col min="7" max="7" width="11" bestFit="1" customWidth="1"/>
    <col min="8" max="256" width="11" customWidth="1"/>
  </cols>
  <sheetData>
    <row r="3" spans="1:4" x14ac:dyDescent="0.25">
      <c r="B3" s="9" t="s">
        <v>1826</v>
      </c>
    </row>
    <row r="4" spans="1:4" x14ac:dyDescent="0.25">
      <c r="A4" s="9" t="s">
        <v>1822</v>
      </c>
      <c r="B4" t="s">
        <v>1825</v>
      </c>
      <c r="C4" t="s">
        <v>1827</v>
      </c>
      <c r="D4" t="s">
        <v>1829</v>
      </c>
    </row>
    <row r="5" spans="1:4" x14ac:dyDescent="0.25">
      <c r="A5" s="7" t="s">
        <v>1806</v>
      </c>
      <c r="B5">
        <v>360</v>
      </c>
      <c r="C5">
        <v>360</v>
      </c>
      <c r="D5">
        <v>360</v>
      </c>
    </row>
    <row r="6" spans="1:4" x14ac:dyDescent="0.25">
      <c r="A6" s="10" t="s">
        <v>1246</v>
      </c>
      <c r="B6">
        <v>1</v>
      </c>
      <c r="C6">
        <v>1</v>
      </c>
      <c r="D6">
        <v>1</v>
      </c>
    </row>
    <row r="7" spans="1:4" x14ac:dyDescent="0.25">
      <c r="A7" s="11" t="s">
        <v>1247</v>
      </c>
      <c r="B7">
        <v>1</v>
      </c>
      <c r="C7">
        <v>1</v>
      </c>
      <c r="D7">
        <v>1</v>
      </c>
    </row>
    <row r="8" spans="1:4" x14ac:dyDescent="0.25">
      <c r="A8" s="14" t="s">
        <v>1248</v>
      </c>
      <c r="B8">
        <v>1</v>
      </c>
      <c r="C8">
        <v>1</v>
      </c>
      <c r="D8">
        <v>1</v>
      </c>
    </row>
    <row r="9" spans="1:4" x14ac:dyDescent="0.25">
      <c r="A9" s="15" t="s">
        <v>1249</v>
      </c>
      <c r="B9">
        <v>1</v>
      </c>
      <c r="C9">
        <v>1</v>
      </c>
      <c r="D9">
        <v>1</v>
      </c>
    </row>
    <row r="10" spans="1:4" x14ac:dyDescent="0.25">
      <c r="A10" s="10" t="s">
        <v>849</v>
      </c>
      <c r="B10">
        <v>192</v>
      </c>
      <c r="C10">
        <v>192</v>
      </c>
      <c r="D10">
        <v>192</v>
      </c>
    </row>
    <row r="11" spans="1:4" x14ac:dyDescent="0.25">
      <c r="A11" s="11" t="s">
        <v>850</v>
      </c>
      <c r="B11">
        <v>7</v>
      </c>
      <c r="C11">
        <v>7</v>
      </c>
      <c r="D11">
        <v>7</v>
      </c>
    </row>
    <row r="12" spans="1:4" x14ac:dyDescent="0.25">
      <c r="A12" s="14" t="s">
        <v>1620</v>
      </c>
      <c r="B12">
        <v>1</v>
      </c>
      <c r="C12">
        <v>1</v>
      </c>
      <c r="D12">
        <v>1</v>
      </c>
    </row>
    <row r="13" spans="1:4" x14ac:dyDescent="0.25">
      <c r="A13" s="15" t="s">
        <v>1621</v>
      </c>
      <c r="B13">
        <v>1</v>
      </c>
      <c r="C13">
        <v>1</v>
      </c>
      <c r="D13">
        <v>1</v>
      </c>
    </row>
    <row r="14" spans="1:4" x14ac:dyDescent="0.25">
      <c r="A14" s="14" t="s">
        <v>1734</v>
      </c>
      <c r="B14">
        <v>2</v>
      </c>
      <c r="C14">
        <v>2</v>
      </c>
      <c r="D14">
        <v>2</v>
      </c>
    </row>
    <row r="15" spans="1:4" x14ac:dyDescent="0.25">
      <c r="A15" s="15" t="s">
        <v>1735</v>
      </c>
      <c r="B15">
        <v>2</v>
      </c>
      <c r="C15">
        <v>2</v>
      </c>
      <c r="D15">
        <v>2</v>
      </c>
    </row>
    <row r="16" spans="1:4" x14ac:dyDescent="0.25">
      <c r="A16" s="14" t="s">
        <v>851</v>
      </c>
      <c r="B16">
        <v>4</v>
      </c>
      <c r="C16">
        <v>4</v>
      </c>
      <c r="D16">
        <v>4</v>
      </c>
    </row>
    <row r="17" spans="1:4" x14ac:dyDescent="0.25">
      <c r="A17" s="15" t="s">
        <v>1291</v>
      </c>
      <c r="B17">
        <v>1</v>
      </c>
      <c r="C17">
        <v>1</v>
      </c>
      <c r="D17">
        <v>1</v>
      </c>
    </row>
    <row r="18" spans="1:4" x14ac:dyDescent="0.25">
      <c r="A18" s="15" t="s">
        <v>852</v>
      </c>
      <c r="B18">
        <v>1</v>
      </c>
      <c r="C18">
        <v>1</v>
      </c>
      <c r="D18">
        <v>1</v>
      </c>
    </row>
    <row r="19" spans="1:4" x14ac:dyDescent="0.25">
      <c r="A19" s="15" t="s">
        <v>1612</v>
      </c>
      <c r="B19">
        <v>1</v>
      </c>
      <c r="C19">
        <v>1</v>
      </c>
      <c r="D19">
        <v>1</v>
      </c>
    </row>
    <row r="20" spans="1:4" x14ac:dyDescent="0.25">
      <c r="A20" s="15" t="s">
        <v>1242</v>
      </c>
      <c r="B20">
        <v>1</v>
      </c>
      <c r="C20">
        <v>1</v>
      </c>
      <c r="D20">
        <v>1</v>
      </c>
    </row>
    <row r="21" spans="1:4" x14ac:dyDescent="0.25">
      <c r="A21" s="11" t="s">
        <v>1022</v>
      </c>
      <c r="B21">
        <v>3</v>
      </c>
      <c r="C21">
        <v>3</v>
      </c>
      <c r="D21">
        <v>3</v>
      </c>
    </row>
    <row r="22" spans="1:4" x14ac:dyDescent="0.25">
      <c r="A22" s="14" t="s">
        <v>1023</v>
      </c>
      <c r="B22">
        <v>3</v>
      </c>
      <c r="C22">
        <v>3</v>
      </c>
      <c r="D22">
        <v>3</v>
      </c>
    </row>
    <row r="23" spans="1:4" x14ac:dyDescent="0.25">
      <c r="A23" s="15" t="s">
        <v>1024</v>
      </c>
      <c r="B23">
        <v>3</v>
      </c>
      <c r="C23">
        <v>3</v>
      </c>
      <c r="D23">
        <v>3</v>
      </c>
    </row>
    <row r="24" spans="1:4" x14ac:dyDescent="0.25">
      <c r="A24" s="11" t="s">
        <v>867</v>
      </c>
      <c r="B24">
        <v>172</v>
      </c>
      <c r="C24">
        <v>172</v>
      </c>
      <c r="D24">
        <v>172</v>
      </c>
    </row>
    <row r="25" spans="1:4" x14ac:dyDescent="0.25">
      <c r="A25" s="14" t="s">
        <v>1121</v>
      </c>
      <c r="B25">
        <v>3</v>
      </c>
      <c r="C25">
        <v>3</v>
      </c>
      <c r="D25">
        <v>3</v>
      </c>
    </row>
    <row r="26" spans="1:4" x14ac:dyDescent="0.25">
      <c r="A26" s="15" t="s">
        <v>1138</v>
      </c>
      <c r="B26">
        <v>1</v>
      </c>
      <c r="C26">
        <v>1</v>
      </c>
      <c r="D26">
        <v>1</v>
      </c>
    </row>
    <row r="27" spans="1:4" x14ac:dyDescent="0.25">
      <c r="A27" s="15" t="s">
        <v>1122</v>
      </c>
      <c r="B27">
        <v>1</v>
      </c>
      <c r="C27">
        <v>1</v>
      </c>
      <c r="D27">
        <v>1</v>
      </c>
    </row>
    <row r="28" spans="1:4" x14ac:dyDescent="0.25">
      <c r="A28" s="15" t="s">
        <v>1453</v>
      </c>
      <c r="B28">
        <v>1</v>
      </c>
      <c r="C28">
        <v>1</v>
      </c>
      <c r="D28">
        <v>1</v>
      </c>
    </row>
    <row r="29" spans="1:4" x14ac:dyDescent="0.25">
      <c r="A29" s="14" t="s">
        <v>884</v>
      </c>
      <c r="B29">
        <v>48</v>
      </c>
      <c r="C29">
        <v>48</v>
      </c>
      <c r="D29">
        <v>48</v>
      </c>
    </row>
    <row r="30" spans="1:4" x14ac:dyDescent="0.25">
      <c r="A30" s="15" t="s">
        <v>1575</v>
      </c>
      <c r="B30">
        <v>2</v>
      </c>
      <c r="C30">
        <v>2</v>
      </c>
      <c r="D30">
        <v>2</v>
      </c>
    </row>
    <row r="31" spans="1:4" x14ac:dyDescent="0.25">
      <c r="A31" s="15" t="s">
        <v>1375</v>
      </c>
      <c r="B31">
        <v>2</v>
      </c>
      <c r="C31">
        <v>2</v>
      </c>
      <c r="D31">
        <v>2</v>
      </c>
    </row>
    <row r="32" spans="1:4" x14ac:dyDescent="0.25">
      <c r="A32" s="15" t="s">
        <v>1149</v>
      </c>
      <c r="B32">
        <v>1</v>
      </c>
      <c r="C32">
        <v>1</v>
      </c>
      <c r="D32">
        <v>1</v>
      </c>
    </row>
    <row r="33" spans="1:4" x14ac:dyDescent="0.25">
      <c r="A33" s="15" t="s">
        <v>885</v>
      </c>
      <c r="B33">
        <v>1</v>
      </c>
      <c r="C33">
        <v>1</v>
      </c>
      <c r="D33">
        <v>1</v>
      </c>
    </row>
    <row r="34" spans="1:4" x14ac:dyDescent="0.25">
      <c r="A34" s="15" t="s">
        <v>931</v>
      </c>
      <c r="B34">
        <v>10</v>
      </c>
      <c r="C34">
        <v>10</v>
      </c>
      <c r="D34">
        <v>10</v>
      </c>
    </row>
    <row r="35" spans="1:4" x14ac:dyDescent="0.25">
      <c r="A35" s="15" t="s">
        <v>1011</v>
      </c>
      <c r="B35">
        <v>10</v>
      </c>
      <c r="C35">
        <v>10</v>
      </c>
      <c r="D35">
        <v>10</v>
      </c>
    </row>
    <row r="36" spans="1:4" x14ac:dyDescent="0.25">
      <c r="A36" s="15" t="s">
        <v>1295</v>
      </c>
      <c r="B36">
        <v>2</v>
      </c>
      <c r="C36">
        <v>2</v>
      </c>
      <c r="D36">
        <v>2</v>
      </c>
    </row>
    <row r="37" spans="1:4" x14ac:dyDescent="0.25">
      <c r="A37" s="15" t="s">
        <v>936</v>
      </c>
      <c r="B37">
        <v>12</v>
      </c>
      <c r="C37">
        <v>12</v>
      </c>
      <c r="D37">
        <v>12</v>
      </c>
    </row>
    <row r="38" spans="1:4" x14ac:dyDescent="0.25">
      <c r="A38" s="15" t="s">
        <v>1720</v>
      </c>
      <c r="B38">
        <v>1</v>
      </c>
      <c r="C38">
        <v>1</v>
      </c>
      <c r="D38">
        <v>1</v>
      </c>
    </row>
    <row r="39" spans="1:4" x14ac:dyDescent="0.25">
      <c r="A39" s="15" t="s">
        <v>1033</v>
      </c>
      <c r="B39">
        <v>4</v>
      </c>
      <c r="C39">
        <v>4</v>
      </c>
      <c r="D39">
        <v>4</v>
      </c>
    </row>
    <row r="40" spans="1:4" x14ac:dyDescent="0.25">
      <c r="A40" s="15" t="s">
        <v>1502</v>
      </c>
      <c r="B40">
        <v>1</v>
      </c>
      <c r="C40">
        <v>1</v>
      </c>
      <c r="D40">
        <v>1</v>
      </c>
    </row>
    <row r="41" spans="1:4" x14ac:dyDescent="0.25">
      <c r="A41" s="15" t="s">
        <v>1571</v>
      </c>
      <c r="B41">
        <v>1</v>
      </c>
      <c r="C41">
        <v>1</v>
      </c>
      <c r="D41">
        <v>1</v>
      </c>
    </row>
    <row r="42" spans="1:4" x14ac:dyDescent="0.25">
      <c r="A42" s="15" t="s">
        <v>1489</v>
      </c>
      <c r="B42">
        <v>1</v>
      </c>
      <c r="C42">
        <v>1</v>
      </c>
      <c r="D42">
        <v>1</v>
      </c>
    </row>
    <row r="43" spans="1:4" x14ac:dyDescent="0.25">
      <c r="A43" s="14" t="s">
        <v>871</v>
      </c>
      <c r="B43">
        <v>27</v>
      </c>
      <c r="C43">
        <v>27</v>
      </c>
      <c r="D43">
        <v>27</v>
      </c>
    </row>
    <row r="44" spans="1:4" x14ac:dyDescent="0.25">
      <c r="A44" s="15" t="s">
        <v>905</v>
      </c>
      <c r="B44">
        <v>4</v>
      </c>
      <c r="C44">
        <v>4</v>
      </c>
      <c r="D44">
        <v>4</v>
      </c>
    </row>
    <row r="45" spans="1:4" x14ac:dyDescent="0.25">
      <c r="A45" s="15" t="s">
        <v>1097</v>
      </c>
      <c r="B45">
        <v>2</v>
      </c>
      <c r="C45">
        <v>2</v>
      </c>
      <c r="D45">
        <v>2</v>
      </c>
    </row>
    <row r="46" spans="1:4" x14ac:dyDescent="0.25">
      <c r="A46" s="15" t="s">
        <v>1658</v>
      </c>
      <c r="B46">
        <v>1</v>
      </c>
      <c r="C46">
        <v>1</v>
      </c>
      <c r="D46">
        <v>1</v>
      </c>
    </row>
    <row r="47" spans="1:4" x14ac:dyDescent="0.25">
      <c r="A47" s="15" t="s">
        <v>1140</v>
      </c>
      <c r="B47">
        <v>1</v>
      </c>
      <c r="C47">
        <v>1</v>
      </c>
      <c r="D47">
        <v>1</v>
      </c>
    </row>
    <row r="48" spans="1:4" x14ac:dyDescent="0.25">
      <c r="A48" s="15" t="s">
        <v>872</v>
      </c>
      <c r="B48">
        <v>4</v>
      </c>
      <c r="C48">
        <v>4</v>
      </c>
      <c r="D48">
        <v>4</v>
      </c>
    </row>
    <row r="49" spans="1:4" x14ac:dyDescent="0.25">
      <c r="A49" s="15" t="s">
        <v>1186</v>
      </c>
      <c r="B49">
        <v>1</v>
      </c>
      <c r="C49">
        <v>1</v>
      </c>
      <c r="D49">
        <v>1</v>
      </c>
    </row>
    <row r="50" spans="1:4" x14ac:dyDescent="0.25">
      <c r="A50" s="15" t="s">
        <v>1286</v>
      </c>
      <c r="B50">
        <v>3</v>
      </c>
      <c r="C50">
        <v>3</v>
      </c>
      <c r="D50">
        <v>3</v>
      </c>
    </row>
    <row r="51" spans="1:4" x14ac:dyDescent="0.25">
      <c r="A51" s="15" t="s">
        <v>913</v>
      </c>
      <c r="B51">
        <v>11</v>
      </c>
      <c r="C51">
        <v>11</v>
      </c>
      <c r="D51">
        <v>11</v>
      </c>
    </row>
    <row r="52" spans="1:4" x14ac:dyDescent="0.25">
      <c r="A52" s="14" t="s">
        <v>868</v>
      </c>
      <c r="B52">
        <v>32</v>
      </c>
      <c r="C52">
        <v>32</v>
      </c>
      <c r="D52">
        <v>32</v>
      </c>
    </row>
    <row r="53" spans="1:4" x14ac:dyDescent="0.25">
      <c r="A53" s="15" t="s">
        <v>869</v>
      </c>
      <c r="B53">
        <v>2</v>
      </c>
      <c r="C53">
        <v>2</v>
      </c>
      <c r="D53">
        <v>2</v>
      </c>
    </row>
    <row r="54" spans="1:4" x14ac:dyDescent="0.25">
      <c r="A54" s="15" t="s">
        <v>893</v>
      </c>
      <c r="B54">
        <v>3</v>
      </c>
      <c r="C54">
        <v>3</v>
      </c>
      <c r="D54">
        <v>3</v>
      </c>
    </row>
    <row r="55" spans="1:4" x14ac:dyDescent="0.25">
      <c r="A55" s="15" t="s">
        <v>946</v>
      </c>
      <c r="B55">
        <v>9</v>
      </c>
      <c r="C55">
        <v>9</v>
      </c>
      <c r="D55">
        <v>9</v>
      </c>
    </row>
    <row r="56" spans="1:4" x14ac:dyDescent="0.25">
      <c r="A56" s="15" t="s">
        <v>997</v>
      </c>
      <c r="B56">
        <v>1</v>
      </c>
      <c r="C56">
        <v>1</v>
      </c>
      <c r="D56">
        <v>1</v>
      </c>
    </row>
    <row r="57" spans="1:4" x14ac:dyDescent="0.25">
      <c r="A57" s="15" t="s">
        <v>993</v>
      </c>
      <c r="B57">
        <v>2</v>
      </c>
      <c r="C57">
        <v>2</v>
      </c>
      <c r="D57">
        <v>2</v>
      </c>
    </row>
    <row r="58" spans="1:4" x14ac:dyDescent="0.25">
      <c r="A58" s="15" t="s">
        <v>1366</v>
      </c>
      <c r="B58">
        <v>1</v>
      </c>
      <c r="C58">
        <v>1</v>
      </c>
      <c r="D58">
        <v>1</v>
      </c>
    </row>
    <row r="59" spans="1:4" x14ac:dyDescent="0.25">
      <c r="A59" s="15" t="s">
        <v>1156</v>
      </c>
      <c r="B59">
        <v>1</v>
      </c>
      <c r="C59">
        <v>1</v>
      </c>
      <c r="D59">
        <v>1</v>
      </c>
    </row>
    <row r="60" spans="1:4" x14ac:dyDescent="0.25">
      <c r="A60" s="15" t="s">
        <v>1462</v>
      </c>
      <c r="B60">
        <v>2</v>
      </c>
      <c r="C60">
        <v>2</v>
      </c>
      <c r="D60">
        <v>2</v>
      </c>
    </row>
    <row r="61" spans="1:4" x14ac:dyDescent="0.25">
      <c r="A61" s="15" t="s">
        <v>1164</v>
      </c>
      <c r="B61">
        <v>3</v>
      </c>
      <c r="C61">
        <v>3</v>
      </c>
      <c r="D61">
        <v>3</v>
      </c>
    </row>
    <row r="62" spans="1:4" x14ac:dyDescent="0.25">
      <c r="A62" s="15" t="s">
        <v>1402</v>
      </c>
      <c r="B62">
        <v>1</v>
      </c>
      <c r="C62">
        <v>1</v>
      </c>
      <c r="D62">
        <v>1</v>
      </c>
    </row>
    <row r="63" spans="1:4" x14ac:dyDescent="0.25">
      <c r="A63" s="15" t="s">
        <v>1293</v>
      </c>
      <c r="B63">
        <v>1</v>
      </c>
      <c r="C63">
        <v>1</v>
      </c>
      <c r="D63">
        <v>1</v>
      </c>
    </row>
    <row r="64" spans="1:4" x14ac:dyDescent="0.25">
      <c r="A64" s="15" t="s">
        <v>1158</v>
      </c>
      <c r="B64">
        <v>1</v>
      </c>
      <c r="C64">
        <v>1</v>
      </c>
      <c r="D64">
        <v>1</v>
      </c>
    </row>
    <row r="65" spans="1:4" x14ac:dyDescent="0.25">
      <c r="A65" s="15" t="s">
        <v>1394</v>
      </c>
      <c r="B65">
        <v>4</v>
      </c>
      <c r="C65">
        <v>4</v>
      </c>
      <c r="D65">
        <v>4</v>
      </c>
    </row>
    <row r="66" spans="1:4" x14ac:dyDescent="0.25">
      <c r="A66" s="15" t="s">
        <v>1132</v>
      </c>
      <c r="B66">
        <v>1</v>
      </c>
      <c r="C66">
        <v>1</v>
      </c>
      <c r="D66">
        <v>1</v>
      </c>
    </row>
    <row r="67" spans="1:4" x14ac:dyDescent="0.25">
      <c r="A67" s="14" t="s">
        <v>928</v>
      </c>
      <c r="B67">
        <v>16</v>
      </c>
      <c r="C67">
        <v>16</v>
      </c>
      <c r="D67">
        <v>16</v>
      </c>
    </row>
    <row r="68" spans="1:4" x14ac:dyDescent="0.25">
      <c r="A68" s="15" t="s">
        <v>948</v>
      </c>
      <c r="B68">
        <v>3</v>
      </c>
      <c r="C68">
        <v>3</v>
      </c>
      <c r="D68">
        <v>3</v>
      </c>
    </row>
    <row r="69" spans="1:4" x14ac:dyDescent="0.25">
      <c r="A69" s="15" t="s">
        <v>1188</v>
      </c>
      <c r="B69">
        <v>1</v>
      </c>
      <c r="C69">
        <v>1</v>
      </c>
      <c r="D69">
        <v>1</v>
      </c>
    </row>
    <row r="70" spans="1:4" x14ac:dyDescent="0.25">
      <c r="A70" s="15" t="s">
        <v>1455</v>
      </c>
      <c r="B70">
        <v>1</v>
      </c>
      <c r="C70">
        <v>1</v>
      </c>
      <c r="D70">
        <v>1</v>
      </c>
    </row>
    <row r="71" spans="1:4" x14ac:dyDescent="0.25">
      <c r="A71" s="15" t="s">
        <v>929</v>
      </c>
      <c r="B71">
        <v>8</v>
      </c>
      <c r="C71">
        <v>8</v>
      </c>
      <c r="D71">
        <v>8</v>
      </c>
    </row>
    <row r="72" spans="1:4" x14ac:dyDescent="0.25">
      <c r="A72" s="15" t="s">
        <v>1656</v>
      </c>
      <c r="B72">
        <v>1</v>
      </c>
      <c r="C72">
        <v>1</v>
      </c>
      <c r="D72">
        <v>1</v>
      </c>
    </row>
    <row r="73" spans="1:4" x14ac:dyDescent="0.25">
      <c r="A73" s="15" t="s">
        <v>1740</v>
      </c>
      <c r="B73">
        <v>2</v>
      </c>
      <c r="C73">
        <v>2</v>
      </c>
      <c r="D73">
        <v>2</v>
      </c>
    </row>
    <row r="74" spans="1:4" x14ac:dyDescent="0.25">
      <c r="A74" s="14" t="s">
        <v>1029</v>
      </c>
      <c r="B74">
        <v>40</v>
      </c>
      <c r="C74">
        <v>40</v>
      </c>
      <c r="D74">
        <v>40</v>
      </c>
    </row>
    <row r="75" spans="1:4" x14ac:dyDescent="0.25">
      <c r="A75" s="15" t="s">
        <v>1758</v>
      </c>
      <c r="B75">
        <v>1</v>
      </c>
      <c r="C75">
        <v>1</v>
      </c>
      <c r="D75">
        <v>1</v>
      </c>
    </row>
    <row r="76" spans="1:4" x14ac:dyDescent="0.25">
      <c r="A76" s="15" t="s">
        <v>1083</v>
      </c>
      <c r="B76">
        <v>5</v>
      </c>
      <c r="C76">
        <v>5</v>
      </c>
      <c r="D76">
        <v>5</v>
      </c>
    </row>
    <row r="77" spans="1:4" x14ac:dyDescent="0.25">
      <c r="A77" s="15" t="s">
        <v>1332</v>
      </c>
      <c r="B77">
        <v>6</v>
      </c>
      <c r="C77">
        <v>6</v>
      </c>
      <c r="D77">
        <v>6</v>
      </c>
    </row>
    <row r="78" spans="1:4" x14ac:dyDescent="0.25">
      <c r="A78" s="15" t="s">
        <v>1348</v>
      </c>
      <c r="B78">
        <v>6</v>
      </c>
      <c r="C78">
        <v>6</v>
      </c>
      <c r="D78">
        <v>6</v>
      </c>
    </row>
    <row r="79" spans="1:4" x14ac:dyDescent="0.25">
      <c r="A79" s="15" t="s">
        <v>1043</v>
      </c>
      <c r="B79">
        <v>2</v>
      </c>
      <c r="C79">
        <v>2</v>
      </c>
      <c r="D79">
        <v>2</v>
      </c>
    </row>
    <row r="80" spans="1:4" x14ac:dyDescent="0.25">
      <c r="A80" s="15" t="s">
        <v>1223</v>
      </c>
      <c r="B80">
        <v>1</v>
      </c>
      <c r="C80">
        <v>1</v>
      </c>
      <c r="D80">
        <v>1</v>
      </c>
    </row>
    <row r="81" spans="1:4" x14ac:dyDescent="0.25">
      <c r="A81" s="15" t="s">
        <v>1325</v>
      </c>
      <c r="B81">
        <v>1</v>
      </c>
      <c r="C81">
        <v>1</v>
      </c>
      <c r="D81">
        <v>1</v>
      </c>
    </row>
    <row r="82" spans="1:4" x14ac:dyDescent="0.25">
      <c r="A82" s="15" t="s">
        <v>1692</v>
      </c>
      <c r="B82">
        <v>1</v>
      </c>
      <c r="C82">
        <v>1</v>
      </c>
      <c r="D82">
        <v>1</v>
      </c>
    </row>
    <row r="83" spans="1:4" x14ac:dyDescent="0.25">
      <c r="A83" s="15" t="s">
        <v>1303</v>
      </c>
      <c r="B83">
        <v>4</v>
      </c>
      <c r="C83">
        <v>4</v>
      </c>
      <c r="D83">
        <v>4</v>
      </c>
    </row>
    <row r="84" spans="1:4" x14ac:dyDescent="0.25">
      <c r="A84" s="15" t="s">
        <v>1697</v>
      </c>
      <c r="B84">
        <v>2</v>
      </c>
      <c r="C84">
        <v>2</v>
      </c>
      <c r="D84">
        <v>2</v>
      </c>
    </row>
    <row r="85" spans="1:4" x14ac:dyDescent="0.25">
      <c r="A85" s="15" t="s">
        <v>1479</v>
      </c>
      <c r="B85">
        <v>1</v>
      </c>
      <c r="C85">
        <v>1</v>
      </c>
      <c r="D85">
        <v>1</v>
      </c>
    </row>
    <row r="86" spans="1:4" x14ac:dyDescent="0.25">
      <c r="A86" s="15" t="s">
        <v>1563</v>
      </c>
      <c r="B86">
        <v>1</v>
      </c>
      <c r="C86">
        <v>1</v>
      </c>
      <c r="D86">
        <v>1</v>
      </c>
    </row>
    <row r="87" spans="1:4" x14ac:dyDescent="0.25">
      <c r="A87" s="15" t="s">
        <v>1030</v>
      </c>
      <c r="B87">
        <v>3</v>
      </c>
      <c r="C87">
        <v>3</v>
      </c>
      <c r="D87">
        <v>3</v>
      </c>
    </row>
    <row r="88" spans="1:4" x14ac:dyDescent="0.25">
      <c r="A88" s="15" t="s">
        <v>1086</v>
      </c>
      <c r="B88">
        <v>6</v>
      </c>
      <c r="C88">
        <v>6</v>
      </c>
      <c r="D88">
        <v>6</v>
      </c>
    </row>
    <row r="89" spans="1:4" x14ac:dyDescent="0.25">
      <c r="A89" s="14" t="s">
        <v>1457</v>
      </c>
      <c r="B89">
        <v>1</v>
      </c>
      <c r="C89">
        <v>1</v>
      </c>
      <c r="D89">
        <v>1</v>
      </c>
    </row>
    <row r="90" spans="1:4" x14ac:dyDescent="0.25">
      <c r="A90" s="15" t="s">
        <v>1458</v>
      </c>
      <c r="B90">
        <v>1</v>
      </c>
      <c r="C90">
        <v>1</v>
      </c>
      <c r="D90">
        <v>1</v>
      </c>
    </row>
    <row r="91" spans="1:4" x14ac:dyDescent="0.25">
      <c r="A91" s="14" t="s">
        <v>1252</v>
      </c>
      <c r="B91">
        <v>5</v>
      </c>
      <c r="C91">
        <v>5</v>
      </c>
      <c r="D91">
        <v>5</v>
      </c>
    </row>
    <row r="92" spans="1:4" x14ac:dyDescent="0.25">
      <c r="A92" s="15" t="s">
        <v>1253</v>
      </c>
      <c r="B92">
        <v>5</v>
      </c>
      <c r="C92">
        <v>5</v>
      </c>
      <c r="D92">
        <v>5</v>
      </c>
    </row>
    <row r="93" spans="1:4" x14ac:dyDescent="0.25">
      <c r="A93" s="11" t="s">
        <v>1035</v>
      </c>
      <c r="B93">
        <v>9</v>
      </c>
      <c r="C93">
        <v>9</v>
      </c>
      <c r="D93">
        <v>9</v>
      </c>
    </row>
    <row r="94" spans="1:4" x14ac:dyDescent="0.25">
      <c r="A94" s="14" t="s">
        <v>1036</v>
      </c>
      <c r="B94">
        <v>9</v>
      </c>
      <c r="C94">
        <v>9</v>
      </c>
      <c r="D94">
        <v>9</v>
      </c>
    </row>
    <row r="95" spans="1:4" x14ac:dyDescent="0.25">
      <c r="A95" s="15" t="s">
        <v>1497</v>
      </c>
      <c r="B95">
        <v>1</v>
      </c>
      <c r="C95">
        <v>1</v>
      </c>
      <c r="D95">
        <v>1</v>
      </c>
    </row>
    <row r="96" spans="1:4" x14ac:dyDescent="0.25">
      <c r="A96" s="15" t="s">
        <v>1482</v>
      </c>
      <c r="B96">
        <v>5</v>
      </c>
      <c r="C96">
        <v>5</v>
      </c>
      <c r="D96">
        <v>5</v>
      </c>
    </row>
    <row r="97" spans="1:4" x14ac:dyDescent="0.25">
      <c r="A97" s="15" t="s">
        <v>1037</v>
      </c>
      <c r="B97">
        <v>1</v>
      </c>
      <c r="C97">
        <v>1</v>
      </c>
      <c r="D97">
        <v>1</v>
      </c>
    </row>
    <row r="98" spans="1:4" x14ac:dyDescent="0.25">
      <c r="A98" s="15" t="s">
        <v>1582</v>
      </c>
      <c r="B98">
        <v>1</v>
      </c>
      <c r="C98">
        <v>1</v>
      </c>
      <c r="D98">
        <v>1</v>
      </c>
    </row>
    <row r="99" spans="1:4" x14ac:dyDescent="0.25">
      <c r="A99" s="15" t="s">
        <v>1221</v>
      </c>
      <c r="B99">
        <v>1</v>
      </c>
      <c r="C99">
        <v>1</v>
      </c>
      <c r="D99">
        <v>1</v>
      </c>
    </row>
    <row r="100" spans="1:4" x14ac:dyDescent="0.25">
      <c r="A100" s="11" t="s">
        <v>989</v>
      </c>
      <c r="B100">
        <v>1</v>
      </c>
      <c r="C100">
        <v>1</v>
      </c>
      <c r="D100">
        <v>1</v>
      </c>
    </row>
    <row r="101" spans="1:4" x14ac:dyDescent="0.25">
      <c r="A101" s="14" t="s">
        <v>990</v>
      </c>
      <c r="B101">
        <v>1</v>
      </c>
      <c r="C101">
        <v>1</v>
      </c>
      <c r="D101">
        <v>1</v>
      </c>
    </row>
    <row r="102" spans="1:4" x14ac:dyDescent="0.25">
      <c r="A102" s="15" t="s">
        <v>991</v>
      </c>
      <c r="B102">
        <v>1</v>
      </c>
      <c r="C102">
        <v>1</v>
      </c>
      <c r="D102">
        <v>1</v>
      </c>
    </row>
    <row r="103" spans="1:4" x14ac:dyDescent="0.25">
      <c r="A103" s="10" t="s">
        <v>862</v>
      </c>
      <c r="B103">
        <v>140</v>
      </c>
      <c r="C103">
        <v>140</v>
      </c>
      <c r="D103">
        <v>140</v>
      </c>
    </row>
    <row r="104" spans="1:4" x14ac:dyDescent="0.25">
      <c r="A104" s="11" t="s">
        <v>889</v>
      </c>
      <c r="B104">
        <v>30</v>
      </c>
      <c r="C104">
        <v>30</v>
      </c>
      <c r="D104">
        <v>30</v>
      </c>
    </row>
    <row r="105" spans="1:4" x14ac:dyDescent="0.25">
      <c r="A105" s="14" t="s">
        <v>890</v>
      </c>
      <c r="B105">
        <v>6</v>
      </c>
      <c r="C105">
        <v>6</v>
      </c>
      <c r="D105">
        <v>6</v>
      </c>
    </row>
    <row r="106" spans="1:4" x14ac:dyDescent="0.25">
      <c r="A106" s="15" t="s">
        <v>1423</v>
      </c>
      <c r="B106">
        <v>1</v>
      </c>
      <c r="C106">
        <v>1</v>
      </c>
      <c r="D106">
        <v>1</v>
      </c>
    </row>
    <row r="107" spans="1:4" x14ac:dyDescent="0.25">
      <c r="A107" s="15" t="s">
        <v>891</v>
      </c>
      <c r="B107">
        <v>5</v>
      </c>
      <c r="C107">
        <v>5</v>
      </c>
      <c r="D107">
        <v>5</v>
      </c>
    </row>
    <row r="108" spans="1:4" x14ac:dyDescent="0.25">
      <c r="A108" s="14" t="s">
        <v>1258</v>
      </c>
      <c r="B108">
        <v>4</v>
      </c>
      <c r="C108">
        <v>4</v>
      </c>
      <c r="D108">
        <v>4</v>
      </c>
    </row>
    <row r="109" spans="1:4" x14ac:dyDescent="0.25">
      <c r="A109" s="15" t="s">
        <v>1259</v>
      </c>
      <c r="B109">
        <v>1</v>
      </c>
      <c r="C109">
        <v>1</v>
      </c>
      <c r="D109">
        <v>1</v>
      </c>
    </row>
    <row r="110" spans="1:4" x14ac:dyDescent="0.25">
      <c r="A110" s="15" t="s">
        <v>1268</v>
      </c>
      <c r="B110">
        <v>3</v>
      </c>
      <c r="C110">
        <v>3</v>
      </c>
      <c r="D110">
        <v>3</v>
      </c>
    </row>
    <row r="111" spans="1:4" x14ac:dyDescent="0.25">
      <c r="A111" s="14" t="s">
        <v>1232</v>
      </c>
      <c r="B111">
        <v>1</v>
      </c>
      <c r="C111">
        <v>1</v>
      </c>
      <c r="D111">
        <v>1</v>
      </c>
    </row>
    <row r="112" spans="1:4" x14ac:dyDescent="0.25">
      <c r="A112" s="15" t="s">
        <v>1233</v>
      </c>
      <c r="B112">
        <v>1</v>
      </c>
      <c r="C112">
        <v>1</v>
      </c>
      <c r="D112">
        <v>1</v>
      </c>
    </row>
    <row r="113" spans="1:4" x14ac:dyDescent="0.25">
      <c r="A113" s="14" t="s">
        <v>1075</v>
      </c>
      <c r="B113">
        <v>12</v>
      </c>
      <c r="C113">
        <v>12</v>
      </c>
      <c r="D113">
        <v>12</v>
      </c>
    </row>
    <row r="114" spans="1:4" x14ac:dyDescent="0.25">
      <c r="A114" s="15" t="s">
        <v>1363</v>
      </c>
      <c r="B114">
        <v>4</v>
      </c>
      <c r="C114">
        <v>4</v>
      </c>
      <c r="D114">
        <v>4</v>
      </c>
    </row>
    <row r="115" spans="1:4" x14ac:dyDescent="0.25">
      <c r="A115" s="15" t="s">
        <v>1076</v>
      </c>
      <c r="B115">
        <v>1</v>
      </c>
      <c r="C115">
        <v>1</v>
      </c>
      <c r="D115">
        <v>1</v>
      </c>
    </row>
    <row r="116" spans="1:4" x14ac:dyDescent="0.25">
      <c r="A116" s="15" t="s">
        <v>1119</v>
      </c>
      <c r="B116">
        <v>1</v>
      </c>
      <c r="C116">
        <v>1</v>
      </c>
      <c r="D116">
        <v>1</v>
      </c>
    </row>
    <row r="117" spans="1:4" x14ac:dyDescent="0.25">
      <c r="A117" s="15" t="s">
        <v>1432</v>
      </c>
      <c r="B117">
        <v>1</v>
      </c>
      <c r="C117">
        <v>1</v>
      </c>
      <c r="D117">
        <v>1</v>
      </c>
    </row>
    <row r="118" spans="1:4" x14ac:dyDescent="0.25">
      <c r="A118" s="15" t="s">
        <v>1520</v>
      </c>
      <c r="B118">
        <v>1</v>
      </c>
      <c r="C118">
        <v>1</v>
      </c>
      <c r="D118">
        <v>1</v>
      </c>
    </row>
    <row r="119" spans="1:4" x14ac:dyDescent="0.25">
      <c r="A119" s="15" t="s">
        <v>1715</v>
      </c>
      <c r="B119">
        <v>1</v>
      </c>
      <c r="C119">
        <v>1</v>
      </c>
      <c r="D119">
        <v>1</v>
      </c>
    </row>
    <row r="120" spans="1:4" x14ac:dyDescent="0.25">
      <c r="A120" s="15" t="s">
        <v>1278</v>
      </c>
      <c r="B120">
        <v>3</v>
      </c>
      <c r="C120">
        <v>3</v>
      </c>
      <c r="D120">
        <v>3</v>
      </c>
    </row>
    <row r="121" spans="1:4" x14ac:dyDescent="0.25">
      <c r="A121" s="14" t="s">
        <v>1471</v>
      </c>
      <c r="B121">
        <v>2</v>
      </c>
      <c r="C121">
        <v>2</v>
      </c>
      <c r="D121">
        <v>2</v>
      </c>
    </row>
    <row r="122" spans="1:4" x14ac:dyDescent="0.25">
      <c r="A122" s="15" t="s">
        <v>1472</v>
      </c>
      <c r="B122">
        <v>2</v>
      </c>
      <c r="C122">
        <v>2</v>
      </c>
      <c r="D122">
        <v>2</v>
      </c>
    </row>
    <row r="123" spans="1:4" x14ac:dyDescent="0.25">
      <c r="A123" s="14" t="s">
        <v>1589</v>
      </c>
      <c r="B123">
        <v>1</v>
      </c>
      <c r="C123">
        <v>1</v>
      </c>
      <c r="D123">
        <v>1</v>
      </c>
    </row>
    <row r="124" spans="1:4" x14ac:dyDescent="0.25">
      <c r="A124" s="15" t="s">
        <v>1590</v>
      </c>
      <c r="B124">
        <v>1</v>
      </c>
      <c r="C124">
        <v>1</v>
      </c>
      <c r="D124">
        <v>1</v>
      </c>
    </row>
    <row r="125" spans="1:4" x14ac:dyDescent="0.25">
      <c r="A125" s="14" t="s">
        <v>910</v>
      </c>
      <c r="B125">
        <v>3</v>
      </c>
      <c r="C125">
        <v>3</v>
      </c>
      <c r="D125">
        <v>3</v>
      </c>
    </row>
    <row r="126" spans="1:4" x14ac:dyDescent="0.25">
      <c r="A126" s="15" t="s">
        <v>1105</v>
      </c>
      <c r="B126">
        <v>1</v>
      </c>
      <c r="C126">
        <v>1</v>
      </c>
      <c r="D126">
        <v>1</v>
      </c>
    </row>
    <row r="127" spans="1:4" x14ac:dyDescent="0.25">
      <c r="A127" s="15" t="s">
        <v>911</v>
      </c>
      <c r="B127">
        <v>1</v>
      </c>
      <c r="C127">
        <v>1</v>
      </c>
      <c r="D127">
        <v>1</v>
      </c>
    </row>
    <row r="128" spans="1:4" x14ac:dyDescent="0.25">
      <c r="A128" s="15" t="s">
        <v>1650</v>
      </c>
      <c r="B128">
        <v>1</v>
      </c>
      <c r="C128">
        <v>1</v>
      </c>
      <c r="D128">
        <v>1</v>
      </c>
    </row>
    <row r="129" spans="1:4" x14ac:dyDescent="0.25">
      <c r="A129" s="14" t="s">
        <v>1357</v>
      </c>
      <c r="B129">
        <v>1</v>
      </c>
      <c r="C129">
        <v>1</v>
      </c>
      <c r="D129">
        <v>1</v>
      </c>
    </row>
    <row r="130" spans="1:4" x14ac:dyDescent="0.25">
      <c r="A130" s="15" t="s">
        <v>1358</v>
      </c>
      <c r="B130">
        <v>1</v>
      </c>
      <c r="C130">
        <v>1</v>
      </c>
      <c r="D130">
        <v>1</v>
      </c>
    </row>
    <row r="131" spans="1:4" x14ac:dyDescent="0.25">
      <c r="A131" s="11" t="s">
        <v>1206</v>
      </c>
      <c r="B131">
        <v>5</v>
      </c>
      <c r="C131">
        <v>5</v>
      </c>
      <c r="D131">
        <v>5</v>
      </c>
    </row>
    <row r="132" spans="1:4" x14ac:dyDescent="0.25">
      <c r="A132" s="14" t="s">
        <v>1207</v>
      </c>
      <c r="B132">
        <v>5</v>
      </c>
      <c r="C132">
        <v>5</v>
      </c>
      <c r="D132">
        <v>5</v>
      </c>
    </row>
    <row r="133" spans="1:4" x14ac:dyDescent="0.25">
      <c r="A133" s="15" t="s">
        <v>1618</v>
      </c>
      <c r="B133">
        <v>1</v>
      </c>
      <c r="C133">
        <v>1</v>
      </c>
      <c r="D133">
        <v>1</v>
      </c>
    </row>
    <row r="134" spans="1:4" x14ac:dyDescent="0.25">
      <c r="A134" s="15" t="s">
        <v>1208</v>
      </c>
      <c r="B134">
        <v>1</v>
      </c>
      <c r="C134">
        <v>1</v>
      </c>
      <c r="D134">
        <v>1</v>
      </c>
    </row>
    <row r="135" spans="1:4" x14ac:dyDescent="0.25">
      <c r="A135" s="15" t="s">
        <v>1750</v>
      </c>
      <c r="B135">
        <v>1</v>
      </c>
      <c r="C135">
        <v>1</v>
      </c>
      <c r="D135">
        <v>1</v>
      </c>
    </row>
    <row r="136" spans="1:4" x14ac:dyDescent="0.25">
      <c r="A136" s="15" t="s">
        <v>1378</v>
      </c>
      <c r="B136">
        <v>1</v>
      </c>
      <c r="C136">
        <v>1</v>
      </c>
      <c r="D136">
        <v>1</v>
      </c>
    </row>
    <row r="137" spans="1:4" x14ac:dyDescent="0.25">
      <c r="A137" s="15" t="s">
        <v>1566</v>
      </c>
      <c r="B137">
        <v>1</v>
      </c>
      <c r="C137">
        <v>1</v>
      </c>
      <c r="D137">
        <v>1</v>
      </c>
    </row>
    <row r="138" spans="1:4" x14ac:dyDescent="0.25">
      <c r="A138" s="11" t="s">
        <v>863</v>
      </c>
      <c r="B138">
        <v>23</v>
      </c>
      <c r="C138">
        <v>23</v>
      </c>
      <c r="D138">
        <v>23</v>
      </c>
    </row>
    <row r="139" spans="1:4" x14ac:dyDescent="0.25">
      <c r="A139" s="14" t="s">
        <v>950</v>
      </c>
      <c r="B139">
        <v>1</v>
      </c>
      <c r="C139">
        <v>1</v>
      </c>
      <c r="D139">
        <v>1</v>
      </c>
    </row>
    <row r="140" spans="1:4" x14ac:dyDescent="0.25">
      <c r="A140" s="15" t="s">
        <v>951</v>
      </c>
      <c r="B140">
        <v>1</v>
      </c>
      <c r="C140">
        <v>1</v>
      </c>
      <c r="D140">
        <v>1</v>
      </c>
    </row>
    <row r="141" spans="1:4" x14ac:dyDescent="0.25">
      <c r="A141" s="14" t="s">
        <v>897</v>
      </c>
      <c r="B141">
        <v>5</v>
      </c>
      <c r="C141">
        <v>5</v>
      </c>
      <c r="D141">
        <v>5</v>
      </c>
    </row>
    <row r="142" spans="1:4" x14ac:dyDescent="0.25">
      <c r="A142" s="15" t="s">
        <v>898</v>
      </c>
      <c r="B142">
        <v>5</v>
      </c>
      <c r="C142">
        <v>5</v>
      </c>
      <c r="D142">
        <v>5</v>
      </c>
    </row>
    <row r="143" spans="1:4" x14ac:dyDescent="0.25">
      <c r="A143" s="14" t="s">
        <v>1116</v>
      </c>
      <c r="B143">
        <v>1</v>
      </c>
      <c r="C143">
        <v>1</v>
      </c>
      <c r="D143">
        <v>1</v>
      </c>
    </row>
    <row r="144" spans="1:4" x14ac:dyDescent="0.25">
      <c r="A144" s="15" t="s">
        <v>1117</v>
      </c>
      <c r="B144">
        <v>1</v>
      </c>
      <c r="C144">
        <v>1</v>
      </c>
      <c r="D144">
        <v>1</v>
      </c>
    </row>
    <row r="145" spans="1:4" x14ac:dyDescent="0.25">
      <c r="A145" s="14" t="s">
        <v>1407</v>
      </c>
      <c r="B145">
        <v>2</v>
      </c>
      <c r="C145">
        <v>2</v>
      </c>
      <c r="D145">
        <v>2</v>
      </c>
    </row>
    <row r="146" spans="1:4" x14ac:dyDescent="0.25">
      <c r="A146" s="15" t="s">
        <v>1408</v>
      </c>
      <c r="B146">
        <v>2</v>
      </c>
      <c r="C146">
        <v>2</v>
      </c>
      <c r="D146">
        <v>2</v>
      </c>
    </row>
    <row r="147" spans="1:4" x14ac:dyDescent="0.25">
      <c r="A147" s="14" t="s">
        <v>1265</v>
      </c>
      <c r="B147">
        <v>1</v>
      </c>
      <c r="C147">
        <v>1</v>
      </c>
      <c r="D147">
        <v>1</v>
      </c>
    </row>
    <row r="148" spans="1:4" x14ac:dyDescent="0.25">
      <c r="A148" s="15" t="s">
        <v>1266</v>
      </c>
      <c r="B148">
        <v>1</v>
      </c>
      <c r="C148">
        <v>1</v>
      </c>
      <c r="D148">
        <v>1</v>
      </c>
    </row>
    <row r="149" spans="1:4" x14ac:dyDescent="0.25">
      <c r="A149" s="14" t="s">
        <v>864</v>
      </c>
      <c r="B149">
        <v>10</v>
      </c>
      <c r="C149">
        <v>10</v>
      </c>
      <c r="D149">
        <v>10</v>
      </c>
    </row>
    <row r="150" spans="1:4" x14ac:dyDescent="0.25">
      <c r="A150" s="15" t="s">
        <v>1130</v>
      </c>
      <c r="B150">
        <v>1</v>
      </c>
      <c r="C150">
        <v>1</v>
      </c>
      <c r="D150">
        <v>1</v>
      </c>
    </row>
    <row r="151" spans="1:4" x14ac:dyDescent="0.25">
      <c r="A151" s="15" t="s">
        <v>903</v>
      </c>
      <c r="B151">
        <v>2</v>
      </c>
      <c r="C151">
        <v>2</v>
      </c>
      <c r="D151">
        <v>2</v>
      </c>
    </row>
    <row r="152" spans="1:4" x14ac:dyDescent="0.25">
      <c r="A152" s="15" t="s">
        <v>1507</v>
      </c>
      <c r="B152">
        <v>1</v>
      </c>
      <c r="C152">
        <v>1</v>
      </c>
      <c r="D152">
        <v>1</v>
      </c>
    </row>
    <row r="153" spans="1:4" x14ac:dyDescent="0.25">
      <c r="A153" s="15" t="s">
        <v>1561</v>
      </c>
      <c r="B153">
        <v>1</v>
      </c>
      <c r="C153">
        <v>1</v>
      </c>
      <c r="D153">
        <v>1</v>
      </c>
    </row>
    <row r="154" spans="1:4" x14ac:dyDescent="0.25">
      <c r="A154" s="15" t="s">
        <v>1596</v>
      </c>
      <c r="B154">
        <v>3</v>
      </c>
      <c r="C154">
        <v>3</v>
      </c>
      <c r="D154">
        <v>3</v>
      </c>
    </row>
    <row r="155" spans="1:4" x14ac:dyDescent="0.25">
      <c r="A155" s="15" t="s">
        <v>865</v>
      </c>
      <c r="B155">
        <v>2</v>
      </c>
      <c r="C155">
        <v>2</v>
      </c>
      <c r="D155">
        <v>2</v>
      </c>
    </row>
    <row r="156" spans="1:4" x14ac:dyDescent="0.25">
      <c r="A156" s="14" t="s">
        <v>1703</v>
      </c>
      <c r="B156">
        <v>1</v>
      </c>
      <c r="C156">
        <v>1</v>
      </c>
      <c r="D156">
        <v>1</v>
      </c>
    </row>
    <row r="157" spans="1:4" x14ac:dyDescent="0.25">
      <c r="A157" s="15" t="s">
        <v>1704</v>
      </c>
      <c r="B157">
        <v>1</v>
      </c>
      <c r="C157">
        <v>1</v>
      </c>
      <c r="D157">
        <v>1</v>
      </c>
    </row>
    <row r="158" spans="1:4" x14ac:dyDescent="0.25">
      <c r="A158" s="14" t="s">
        <v>1440</v>
      </c>
      <c r="B158">
        <v>2</v>
      </c>
      <c r="C158">
        <v>2</v>
      </c>
      <c r="D158">
        <v>2</v>
      </c>
    </row>
    <row r="159" spans="1:4" x14ac:dyDescent="0.25">
      <c r="A159" s="15" t="s">
        <v>1441</v>
      </c>
      <c r="B159">
        <v>2</v>
      </c>
      <c r="C159">
        <v>2</v>
      </c>
      <c r="D159">
        <v>2</v>
      </c>
    </row>
    <row r="160" spans="1:4" x14ac:dyDescent="0.25">
      <c r="A160" s="11" t="s">
        <v>1529</v>
      </c>
      <c r="B160">
        <v>1</v>
      </c>
      <c r="C160">
        <v>1</v>
      </c>
      <c r="D160">
        <v>1</v>
      </c>
    </row>
    <row r="161" spans="1:4" x14ac:dyDescent="0.25">
      <c r="A161" s="14" t="s">
        <v>1530</v>
      </c>
      <c r="B161">
        <v>1</v>
      </c>
      <c r="C161">
        <v>1</v>
      </c>
      <c r="D161">
        <v>1</v>
      </c>
    </row>
    <row r="162" spans="1:4" x14ac:dyDescent="0.25">
      <c r="A162" s="15" t="s">
        <v>1531</v>
      </c>
      <c r="B162">
        <v>1</v>
      </c>
      <c r="C162">
        <v>1</v>
      </c>
      <c r="D162">
        <v>1</v>
      </c>
    </row>
    <row r="163" spans="1:4" x14ac:dyDescent="0.25">
      <c r="A163" s="11" t="s">
        <v>968</v>
      </c>
      <c r="B163">
        <v>57</v>
      </c>
      <c r="C163">
        <v>57</v>
      </c>
      <c r="D163">
        <v>57</v>
      </c>
    </row>
    <row r="164" spans="1:4" x14ac:dyDescent="0.25">
      <c r="A164" s="14" t="s">
        <v>1002</v>
      </c>
      <c r="B164">
        <v>16</v>
      </c>
      <c r="C164">
        <v>16</v>
      </c>
      <c r="D164">
        <v>16</v>
      </c>
    </row>
    <row r="165" spans="1:4" x14ac:dyDescent="0.25">
      <c r="A165" s="15" t="s">
        <v>1003</v>
      </c>
      <c r="B165">
        <v>7</v>
      </c>
      <c r="C165">
        <v>7</v>
      </c>
      <c r="D165">
        <v>7</v>
      </c>
    </row>
    <row r="166" spans="1:4" x14ac:dyDescent="0.25">
      <c r="A166" s="15" t="s">
        <v>1041</v>
      </c>
      <c r="B166">
        <v>1</v>
      </c>
      <c r="C166">
        <v>1</v>
      </c>
      <c r="D166">
        <v>1</v>
      </c>
    </row>
    <row r="167" spans="1:4" x14ac:dyDescent="0.25">
      <c r="A167" s="15" t="s">
        <v>1072</v>
      </c>
      <c r="B167">
        <v>7</v>
      </c>
      <c r="C167">
        <v>7</v>
      </c>
      <c r="D167">
        <v>7</v>
      </c>
    </row>
    <row r="168" spans="1:4" x14ac:dyDescent="0.25">
      <c r="A168" s="15" t="s">
        <v>1678</v>
      </c>
      <c r="B168">
        <v>1</v>
      </c>
      <c r="C168">
        <v>1</v>
      </c>
      <c r="D168">
        <v>1</v>
      </c>
    </row>
    <row r="169" spans="1:4" x14ac:dyDescent="0.25">
      <c r="A169" s="14" t="s">
        <v>1045</v>
      </c>
      <c r="B169">
        <v>15</v>
      </c>
      <c r="C169">
        <v>15</v>
      </c>
      <c r="D169">
        <v>15</v>
      </c>
    </row>
    <row r="170" spans="1:4" x14ac:dyDescent="0.25">
      <c r="A170" s="15" t="s">
        <v>1046</v>
      </c>
      <c r="B170">
        <v>5</v>
      </c>
      <c r="C170">
        <v>5</v>
      </c>
      <c r="D170">
        <v>5</v>
      </c>
    </row>
    <row r="171" spans="1:4" x14ac:dyDescent="0.25">
      <c r="A171" s="15" t="s">
        <v>1244</v>
      </c>
      <c r="B171">
        <v>1</v>
      </c>
      <c r="C171">
        <v>1</v>
      </c>
      <c r="D171">
        <v>1</v>
      </c>
    </row>
    <row r="172" spans="1:4" x14ac:dyDescent="0.25">
      <c r="A172" s="15" t="s">
        <v>1314</v>
      </c>
      <c r="B172">
        <v>2</v>
      </c>
      <c r="C172">
        <v>2</v>
      </c>
      <c r="D172">
        <v>2</v>
      </c>
    </row>
    <row r="173" spans="1:4" x14ac:dyDescent="0.25">
      <c r="A173" s="15" t="s">
        <v>1438</v>
      </c>
      <c r="B173">
        <v>3</v>
      </c>
      <c r="C173">
        <v>3</v>
      </c>
      <c r="D173">
        <v>3</v>
      </c>
    </row>
    <row r="174" spans="1:4" x14ac:dyDescent="0.25">
      <c r="A174" s="15" t="s">
        <v>1451</v>
      </c>
      <c r="B174">
        <v>2</v>
      </c>
      <c r="C174">
        <v>2</v>
      </c>
      <c r="D174">
        <v>2</v>
      </c>
    </row>
    <row r="175" spans="1:4" x14ac:dyDescent="0.25">
      <c r="A175" s="15" t="s">
        <v>1270</v>
      </c>
      <c r="B175">
        <v>2</v>
      </c>
      <c r="C175">
        <v>2</v>
      </c>
      <c r="D175">
        <v>2</v>
      </c>
    </row>
    <row r="176" spans="1:4" x14ac:dyDescent="0.25">
      <c r="A176" s="14" t="s">
        <v>1533</v>
      </c>
      <c r="B176">
        <v>2</v>
      </c>
      <c r="C176">
        <v>2</v>
      </c>
      <c r="D176">
        <v>2</v>
      </c>
    </row>
    <row r="177" spans="1:4" x14ac:dyDescent="0.25">
      <c r="A177" s="15" t="s">
        <v>1717</v>
      </c>
      <c r="B177">
        <v>1</v>
      </c>
      <c r="C177">
        <v>1</v>
      </c>
      <c r="D177">
        <v>1</v>
      </c>
    </row>
    <row r="178" spans="1:4" x14ac:dyDescent="0.25">
      <c r="A178" s="15" t="s">
        <v>1534</v>
      </c>
      <c r="B178">
        <v>1</v>
      </c>
      <c r="C178">
        <v>1</v>
      </c>
      <c r="D178">
        <v>1</v>
      </c>
    </row>
    <row r="179" spans="1:4" x14ac:dyDescent="0.25">
      <c r="A179" s="14" t="s">
        <v>969</v>
      </c>
      <c r="B179">
        <v>2</v>
      </c>
      <c r="C179">
        <v>2</v>
      </c>
      <c r="D179">
        <v>2</v>
      </c>
    </row>
    <row r="180" spans="1:4" x14ac:dyDescent="0.25">
      <c r="A180" s="15" t="s">
        <v>970</v>
      </c>
      <c r="B180">
        <v>2</v>
      </c>
      <c r="C180">
        <v>2</v>
      </c>
      <c r="D180">
        <v>2</v>
      </c>
    </row>
    <row r="181" spans="1:4" x14ac:dyDescent="0.25">
      <c r="A181" s="14" t="s">
        <v>1486</v>
      </c>
      <c r="B181">
        <v>1</v>
      </c>
      <c r="C181">
        <v>1</v>
      </c>
      <c r="D181">
        <v>1</v>
      </c>
    </row>
    <row r="182" spans="1:4" x14ac:dyDescent="0.25">
      <c r="A182" s="15" t="s">
        <v>1487</v>
      </c>
      <c r="B182">
        <v>1</v>
      </c>
      <c r="C182">
        <v>1</v>
      </c>
      <c r="D182">
        <v>1</v>
      </c>
    </row>
    <row r="183" spans="1:4" x14ac:dyDescent="0.25">
      <c r="A183" s="14" t="s">
        <v>1215</v>
      </c>
      <c r="B183">
        <v>2</v>
      </c>
      <c r="C183">
        <v>2</v>
      </c>
      <c r="D183">
        <v>2</v>
      </c>
    </row>
    <row r="184" spans="1:4" x14ac:dyDescent="0.25">
      <c r="A184" s="15" t="s">
        <v>1216</v>
      </c>
      <c r="B184">
        <v>2</v>
      </c>
      <c r="C184">
        <v>2</v>
      </c>
      <c r="D184">
        <v>2</v>
      </c>
    </row>
    <row r="185" spans="1:4" x14ac:dyDescent="0.25">
      <c r="A185" s="14" t="s">
        <v>1229</v>
      </c>
      <c r="B185">
        <v>2</v>
      </c>
      <c r="C185">
        <v>2</v>
      </c>
      <c r="D185">
        <v>2</v>
      </c>
    </row>
    <row r="186" spans="1:4" x14ac:dyDescent="0.25">
      <c r="A186" s="15" t="s">
        <v>1230</v>
      </c>
      <c r="B186">
        <v>2</v>
      </c>
      <c r="C186">
        <v>2</v>
      </c>
      <c r="D186">
        <v>2</v>
      </c>
    </row>
    <row r="187" spans="1:4" x14ac:dyDescent="0.25">
      <c r="A187" s="14" t="s">
        <v>972</v>
      </c>
      <c r="B187">
        <v>17</v>
      </c>
      <c r="C187">
        <v>17</v>
      </c>
      <c r="D187">
        <v>17</v>
      </c>
    </row>
    <row r="188" spans="1:4" x14ac:dyDescent="0.25">
      <c r="A188" s="15" t="s">
        <v>1052</v>
      </c>
      <c r="B188">
        <v>1</v>
      </c>
      <c r="C188">
        <v>1</v>
      </c>
      <c r="D188">
        <v>1</v>
      </c>
    </row>
    <row r="189" spans="1:4" x14ac:dyDescent="0.25">
      <c r="A189" s="15" t="s">
        <v>1474</v>
      </c>
      <c r="B189">
        <v>2</v>
      </c>
      <c r="C189">
        <v>2</v>
      </c>
      <c r="D189">
        <v>2</v>
      </c>
    </row>
    <row r="190" spans="1:4" x14ac:dyDescent="0.25">
      <c r="A190" s="15" t="s">
        <v>1273</v>
      </c>
      <c r="B190">
        <v>1</v>
      </c>
      <c r="C190">
        <v>1</v>
      </c>
      <c r="D190">
        <v>1</v>
      </c>
    </row>
    <row r="191" spans="1:4" x14ac:dyDescent="0.25">
      <c r="A191" s="15" t="s">
        <v>1334</v>
      </c>
      <c r="B191">
        <v>1</v>
      </c>
      <c r="C191">
        <v>1</v>
      </c>
      <c r="D191">
        <v>1</v>
      </c>
    </row>
    <row r="192" spans="1:4" x14ac:dyDescent="0.25">
      <c r="A192" s="15" t="s">
        <v>1436</v>
      </c>
      <c r="B192">
        <v>5</v>
      </c>
      <c r="C192">
        <v>5</v>
      </c>
      <c r="D192">
        <v>5</v>
      </c>
    </row>
    <row r="193" spans="1:4" x14ac:dyDescent="0.25">
      <c r="A193" s="15" t="s">
        <v>1443</v>
      </c>
      <c r="B193">
        <v>1</v>
      </c>
      <c r="C193">
        <v>1</v>
      </c>
      <c r="D193">
        <v>1</v>
      </c>
    </row>
    <row r="194" spans="1:4" x14ac:dyDescent="0.25">
      <c r="A194" s="15" t="s">
        <v>973</v>
      </c>
      <c r="B194">
        <v>6</v>
      </c>
      <c r="C194">
        <v>6</v>
      </c>
      <c r="D194">
        <v>6</v>
      </c>
    </row>
    <row r="195" spans="1:4" x14ac:dyDescent="0.25">
      <c r="A195" s="11" t="s">
        <v>923</v>
      </c>
      <c r="B195">
        <v>24</v>
      </c>
      <c r="C195">
        <v>24</v>
      </c>
      <c r="D195">
        <v>24</v>
      </c>
    </row>
    <row r="196" spans="1:4" x14ac:dyDescent="0.25">
      <c r="A196" s="14" t="s">
        <v>924</v>
      </c>
      <c r="B196">
        <v>12</v>
      </c>
      <c r="C196">
        <v>12</v>
      </c>
      <c r="D196">
        <v>12</v>
      </c>
    </row>
    <row r="197" spans="1:4" x14ac:dyDescent="0.25">
      <c r="A197" s="15" t="s">
        <v>999</v>
      </c>
      <c r="B197">
        <v>5</v>
      </c>
      <c r="C197">
        <v>5</v>
      </c>
      <c r="D197">
        <v>5</v>
      </c>
    </row>
    <row r="198" spans="1:4" x14ac:dyDescent="0.25">
      <c r="A198" s="15" t="s">
        <v>925</v>
      </c>
      <c r="B198">
        <v>2</v>
      </c>
      <c r="C198">
        <v>2</v>
      </c>
      <c r="D198">
        <v>2</v>
      </c>
    </row>
    <row r="199" spans="1:4" x14ac:dyDescent="0.25">
      <c r="A199" s="15" t="s">
        <v>1336</v>
      </c>
      <c r="B199">
        <v>1</v>
      </c>
      <c r="C199">
        <v>1</v>
      </c>
      <c r="D199">
        <v>1</v>
      </c>
    </row>
    <row r="200" spans="1:4" x14ac:dyDescent="0.25">
      <c r="A200" s="15" t="s">
        <v>1350</v>
      </c>
      <c r="B200">
        <v>1</v>
      </c>
      <c r="C200">
        <v>1</v>
      </c>
      <c r="D200">
        <v>1</v>
      </c>
    </row>
    <row r="201" spans="1:4" x14ac:dyDescent="0.25">
      <c r="A201" s="15" t="s">
        <v>1400</v>
      </c>
      <c r="B201">
        <v>1</v>
      </c>
      <c r="C201">
        <v>1</v>
      </c>
      <c r="D201">
        <v>1</v>
      </c>
    </row>
    <row r="202" spans="1:4" x14ac:dyDescent="0.25">
      <c r="A202" s="15" t="s">
        <v>1598</v>
      </c>
      <c r="B202">
        <v>1</v>
      </c>
      <c r="C202">
        <v>1</v>
      </c>
      <c r="D202">
        <v>1</v>
      </c>
    </row>
    <row r="203" spans="1:4" x14ac:dyDescent="0.25">
      <c r="A203" s="15" t="s">
        <v>1637</v>
      </c>
      <c r="B203">
        <v>1</v>
      </c>
      <c r="C203">
        <v>1</v>
      </c>
      <c r="D203">
        <v>1</v>
      </c>
    </row>
    <row r="204" spans="1:4" x14ac:dyDescent="0.25">
      <c r="A204" s="14" t="s">
        <v>1080</v>
      </c>
      <c r="B204">
        <v>12</v>
      </c>
      <c r="C204">
        <v>12</v>
      </c>
      <c r="D204">
        <v>12</v>
      </c>
    </row>
    <row r="205" spans="1:4" x14ac:dyDescent="0.25">
      <c r="A205" s="15" t="s">
        <v>1081</v>
      </c>
      <c r="B205">
        <v>1</v>
      </c>
      <c r="C205">
        <v>1</v>
      </c>
      <c r="D205">
        <v>1</v>
      </c>
    </row>
    <row r="206" spans="1:4" x14ac:dyDescent="0.25">
      <c r="A206" s="15" t="s">
        <v>1089</v>
      </c>
      <c r="B206">
        <v>8</v>
      </c>
      <c r="C206">
        <v>8</v>
      </c>
      <c r="D206">
        <v>8</v>
      </c>
    </row>
    <row r="207" spans="1:4" x14ac:dyDescent="0.25">
      <c r="A207" s="15" t="s">
        <v>1404</v>
      </c>
      <c r="B207">
        <v>2</v>
      </c>
      <c r="C207">
        <v>2</v>
      </c>
      <c r="D207">
        <v>2</v>
      </c>
    </row>
    <row r="208" spans="1:4" x14ac:dyDescent="0.25">
      <c r="A208" s="15" t="s">
        <v>1517</v>
      </c>
      <c r="B208">
        <v>1</v>
      </c>
      <c r="C208">
        <v>1</v>
      </c>
      <c r="D208">
        <v>1</v>
      </c>
    </row>
    <row r="209" spans="1:4" x14ac:dyDescent="0.25">
      <c r="A209" s="10" t="s">
        <v>1425</v>
      </c>
      <c r="B209">
        <v>1</v>
      </c>
      <c r="C209">
        <v>1</v>
      </c>
      <c r="D209">
        <v>1</v>
      </c>
    </row>
    <row r="210" spans="1:4" x14ac:dyDescent="0.25">
      <c r="A210" s="11" t="s">
        <v>1426</v>
      </c>
      <c r="B210">
        <v>1</v>
      </c>
      <c r="C210">
        <v>1</v>
      </c>
      <c r="D210">
        <v>1</v>
      </c>
    </row>
    <row r="211" spans="1:4" x14ac:dyDescent="0.25">
      <c r="A211" s="14" t="s">
        <v>1427</v>
      </c>
      <c r="B211">
        <v>1</v>
      </c>
      <c r="C211">
        <v>1</v>
      </c>
      <c r="D211">
        <v>1</v>
      </c>
    </row>
    <row r="212" spans="1:4" x14ac:dyDescent="0.25">
      <c r="A212" s="15" t="s">
        <v>1428</v>
      </c>
      <c r="B212">
        <v>1</v>
      </c>
      <c r="C212">
        <v>1</v>
      </c>
      <c r="D212">
        <v>1</v>
      </c>
    </row>
    <row r="213" spans="1:4" x14ac:dyDescent="0.25">
      <c r="A213" s="10" t="s">
        <v>857</v>
      </c>
      <c r="B213">
        <v>16</v>
      </c>
      <c r="C213">
        <v>16</v>
      </c>
      <c r="D213">
        <v>16</v>
      </c>
    </row>
    <row r="214" spans="1:4" x14ac:dyDescent="0.25">
      <c r="A214" s="11" t="s">
        <v>1124</v>
      </c>
      <c r="B214">
        <v>9</v>
      </c>
      <c r="C214">
        <v>9</v>
      </c>
      <c r="D214">
        <v>9</v>
      </c>
    </row>
    <row r="215" spans="1:4" x14ac:dyDescent="0.25">
      <c r="A215" s="14" t="s">
        <v>1182</v>
      </c>
      <c r="B215">
        <v>5</v>
      </c>
      <c r="C215">
        <v>5</v>
      </c>
      <c r="D215">
        <v>5</v>
      </c>
    </row>
    <row r="216" spans="1:4" x14ac:dyDescent="0.25">
      <c r="A216" s="15" t="s">
        <v>1183</v>
      </c>
      <c r="B216">
        <v>4</v>
      </c>
      <c r="C216">
        <v>4</v>
      </c>
      <c r="D216">
        <v>4</v>
      </c>
    </row>
    <row r="217" spans="1:4" x14ac:dyDescent="0.25">
      <c r="A217" s="15" t="s">
        <v>1694</v>
      </c>
      <c r="B217">
        <v>1</v>
      </c>
      <c r="C217">
        <v>1</v>
      </c>
      <c r="D217">
        <v>1</v>
      </c>
    </row>
    <row r="218" spans="1:4" x14ac:dyDescent="0.25">
      <c r="A218" s="14" t="s">
        <v>1370</v>
      </c>
      <c r="B218">
        <v>1</v>
      </c>
      <c r="C218">
        <v>1</v>
      </c>
      <c r="D218">
        <v>1</v>
      </c>
    </row>
    <row r="219" spans="1:4" x14ac:dyDescent="0.25">
      <c r="A219" s="15" t="s">
        <v>1371</v>
      </c>
      <c r="B219">
        <v>1</v>
      </c>
      <c r="C219">
        <v>1</v>
      </c>
      <c r="D219">
        <v>1</v>
      </c>
    </row>
    <row r="220" spans="1:4" x14ac:dyDescent="0.25">
      <c r="A220" s="14" t="s">
        <v>1396</v>
      </c>
      <c r="B220">
        <v>1</v>
      </c>
      <c r="C220">
        <v>1</v>
      </c>
      <c r="D220">
        <v>1</v>
      </c>
    </row>
    <row r="221" spans="1:4" x14ac:dyDescent="0.25">
      <c r="A221" s="15" t="s">
        <v>1397</v>
      </c>
      <c r="B221">
        <v>1</v>
      </c>
      <c r="C221">
        <v>1</v>
      </c>
      <c r="D221">
        <v>1</v>
      </c>
    </row>
    <row r="222" spans="1:4" x14ac:dyDescent="0.25">
      <c r="A222" s="14" t="s">
        <v>1652</v>
      </c>
      <c r="B222">
        <v>1</v>
      </c>
      <c r="C222">
        <v>1</v>
      </c>
      <c r="D222">
        <v>1</v>
      </c>
    </row>
    <row r="223" spans="1:4" x14ac:dyDescent="0.25">
      <c r="A223" s="15" t="s">
        <v>1653</v>
      </c>
      <c r="B223">
        <v>1</v>
      </c>
      <c r="C223">
        <v>1</v>
      </c>
      <c r="D223">
        <v>1</v>
      </c>
    </row>
    <row r="224" spans="1:4" x14ac:dyDescent="0.25">
      <c r="A224" s="14" t="s">
        <v>1125</v>
      </c>
      <c r="B224">
        <v>1</v>
      </c>
      <c r="C224">
        <v>1</v>
      </c>
      <c r="D224">
        <v>1</v>
      </c>
    </row>
    <row r="225" spans="1:4" x14ac:dyDescent="0.25">
      <c r="A225" s="15" t="s">
        <v>1126</v>
      </c>
      <c r="B225">
        <v>1</v>
      </c>
      <c r="C225">
        <v>1</v>
      </c>
      <c r="D225">
        <v>1</v>
      </c>
    </row>
    <row r="226" spans="1:4" x14ac:dyDescent="0.25">
      <c r="A226" s="11" t="s">
        <v>858</v>
      </c>
      <c r="B226">
        <v>7</v>
      </c>
      <c r="C226">
        <v>7</v>
      </c>
      <c r="D226">
        <v>7</v>
      </c>
    </row>
    <row r="227" spans="1:4" x14ac:dyDescent="0.25">
      <c r="A227" s="14" t="s">
        <v>1568</v>
      </c>
      <c r="B227">
        <v>3</v>
      </c>
      <c r="C227">
        <v>3</v>
      </c>
      <c r="D227">
        <v>3</v>
      </c>
    </row>
    <row r="228" spans="1:4" x14ac:dyDescent="0.25">
      <c r="A228" s="15" t="s">
        <v>1569</v>
      </c>
      <c r="B228">
        <v>3</v>
      </c>
      <c r="C228">
        <v>3</v>
      </c>
      <c r="D228">
        <v>3</v>
      </c>
    </row>
    <row r="229" spans="1:4" x14ac:dyDescent="0.25">
      <c r="A229" s="14" t="s">
        <v>859</v>
      </c>
      <c r="B229">
        <v>4</v>
      </c>
      <c r="C229">
        <v>4</v>
      </c>
      <c r="D229">
        <v>4</v>
      </c>
    </row>
    <row r="230" spans="1:4" x14ac:dyDescent="0.25">
      <c r="A230" s="15" t="s">
        <v>860</v>
      </c>
      <c r="B230">
        <v>2</v>
      </c>
      <c r="C230">
        <v>2</v>
      </c>
      <c r="D230">
        <v>2</v>
      </c>
    </row>
    <row r="231" spans="1:4" x14ac:dyDescent="0.25">
      <c r="A231" s="15" t="s">
        <v>957</v>
      </c>
      <c r="B231">
        <v>1</v>
      </c>
      <c r="C231">
        <v>1</v>
      </c>
      <c r="D231">
        <v>1</v>
      </c>
    </row>
    <row r="232" spans="1:4" x14ac:dyDescent="0.25">
      <c r="A232" s="15" t="s">
        <v>1305</v>
      </c>
      <c r="B232">
        <v>1</v>
      </c>
      <c r="C232">
        <v>1</v>
      </c>
      <c r="D232">
        <v>1</v>
      </c>
    </row>
    <row r="233" spans="1:4" x14ac:dyDescent="0.25">
      <c r="A233" s="10" t="s">
        <v>918</v>
      </c>
      <c r="B233">
        <v>9</v>
      </c>
      <c r="C233">
        <v>9</v>
      </c>
      <c r="D233">
        <v>9</v>
      </c>
    </row>
    <row r="234" spans="1:4" x14ac:dyDescent="0.25">
      <c r="A234" s="11" t="s">
        <v>919</v>
      </c>
      <c r="B234">
        <v>9</v>
      </c>
      <c r="C234">
        <v>9</v>
      </c>
      <c r="D234">
        <v>9</v>
      </c>
    </row>
    <row r="235" spans="1:4" x14ac:dyDescent="0.25">
      <c r="A235" s="14" t="s">
        <v>943</v>
      </c>
      <c r="B235">
        <v>3</v>
      </c>
      <c r="C235">
        <v>3</v>
      </c>
      <c r="D235">
        <v>3</v>
      </c>
    </row>
    <row r="236" spans="1:4" x14ac:dyDescent="0.25">
      <c r="A236" s="15" t="s">
        <v>1020</v>
      </c>
      <c r="B236">
        <v>2</v>
      </c>
      <c r="C236">
        <v>2</v>
      </c>
      <c r="D236">
        <v>2</v>
      </c>
    </row>
    <row r="237" spans="1:4" x14ac:dyDescent="0.25">
      <c r="A237" s="15" t="s">
        <v>944</v>
      </c>
      <c r="B237">
        <v>1</v>
      </c>
      <c r="C237">
        <v>1</v>
      </c>
      <c r="D237">
        <v>1</v>
      </c>
    </row>
    <row r="238" spans="1:4" x14ac:dyDescent="0.25">
      <c r="A238" s="14" t="s">
        <v>1412</v>
      </c>
      <c r="B238">
        <v>1</v>
      </c>
      <c r="C238">
        <v>1</v>
      </c>
      <c r="D238">
        <v>1</v>
      </c>
    </row>
    <row r="239" spans="1:4" x14ac:dyDescent="0.25">
      <c r="A239" s="15" t="s">
        <v>1413</v>
      </c>
      <c r="B239">
        <v>1</v>
      </c>
      <c r="C239">
        <v>1</v>
      </c>
      <c r="D239">
        <v>1</v>
      </c>
    </row>
    <row r="240" spans="1:4" x14ac:dyDescent="0.25">
      <c r="A240" s="14" t="s">
        <v>920</v>
      </c>
      <c r="B240">
        <v>1</v>
      </c>
      <c r="C240">
        <v>1</v>
      </c>
      <c r="D240">
        <v>1</v>
      </c>
    </row>
    <row r="241" spans="1:4" x14ac:dyDescent="0.25">
      <c r="A241" s="15" t="s">
        <v>921</v>
      </c>
      <c r="B241">
        <v>1</v>
      </c>
      <c r="C241">
        <v>1</v>
      </c>
      <c r="D241">
        <v>1</v>
      </c>
    </row>
    <row r="242" spans="1:4" x14ac:dyDescent="0.25">
      <c r="A242" s="14" t="s">
        <v>1178</v>
      </c>
      <c r="B242">
        <v>4</v>
      </c>
      <c r="C242">
        <v>4</v>
      </c>
      <c r="D242">
        <v>4</v>
      </c>
    </row>
    <row r="243" spans="1:4" x14ac:dyDescent="0.25">
      <c r="A243" s="15" t="s">
        <v>1179</v>
      </c>
      <c r="B243">
        <v>1</v>
      </c>
      <c r="C243">
        <v>1</v>
      </c>
      <c r="D243">
        <v>1</v>
      </c>
    </row>
    <row r="244" spans="1:4" x14ac:dyDescent="0.25">
      <c r="A244" s="15" t="s">
        <v>1320</v>
      </c>
      <c r="B244">
        <v>1</v>
      </c>
      <c r="C244">
        <v>1</v>
      </c>
      <c r="D244">
        <v>1</v>
      </c>
    </row>
    <row r="245" spans="1:4" x14ac:dyDescent="0.25">
      <c r="A245" s="15" t="s">
        <v>1602</v>
      </c>
      <c r="B245">
        <v>1</v>
      </c>
      <c r="C245">
        <v>1</v>
      </c>
      <c r="D245">
        <v>1</v>
      </c>
    </row>
    <row r="246" spans="1:4" x14ac:dyDescent="0.25">
      <c r="A246" s="15" t="s">
        <v>1723</v>
      </c>
      <c r="B246">
        <v>1</v>
      </c>
      <c r="C246">
        <v>1</v>
      </c>
      <c r="D246">
        <v>1</v>
      </c>
    </row>
    <row r="247" spans="1:4" x14ac:dyDescent="0.25">
      <c r="A247" s="10" t="s">
        <v>1281</v>
      </c>
      <c r="B247">
        <v>1</v>
      </c>
      <c r="C247">
        <v>1</v>
      </c>
      <c r="D247">
        <v>1</v>
      </c>
    </row>
    <row r="248" spans="1:4" x14ac:dyDescent="0.25">
      <c r="A248" s="11" t="s">
        <v>1282</v>
      </c>
      <c r="B248">
        <v>1</v>
      </c>
      <c r="C248">
        <v>1</v>
      </c>
      <c r="D248">
        <v>1</v>
      </c>
    </row>
    <row r="249" spans="1:4" x14ac:dyDescent="0.25">
      <c r="A249" s="14" t="s">
        <v>1283</v>
      </c>
      <c r="B249">
        <v>1</v>
      </c>
      <c r="C249">
        <v>1</v>
      </c>
      <c r="D249">
        <v>1</v>
      </c>
    </row>
    <row r="250" spans="1:4" x14ac:dyDescent="0.25">
      <c r="A250" s="15" t="s">
        <v>1284</v>
      </c>
      <c r="B250">
        <v>1</v>
      </c>
      <c r="C250">
        <v>1</v>
      </c>
      <c r="D250">
        <v>1</v>
      </c>
    </row>
    <row r="251" spans="1:4" x14ac:dyDescent="0.25">
      <c r="A251" s="7" t="s">
        <v>1807</v>
      </c>
      <c r="B251">
        <v>7</v>
      </c>
      <c r="C251">
        <v>7</v>
      </c>
      <c r="D251">
        <v>7</v>
      </c>
    </row>
    <row r="252" spans="1:4" x14ac:dyDescent="0.25">
      <c r="A252" s="10" t="s">
        <v>874</v>
      </c>
      <c r="B252">
        <v>7</v>
      </c>
      <c r="C252">
        <v>7</v>
      </c>
      <c r="D252">
        <v>7</v>
      </c>
    </row>
    <row r="253" spans="1:4" x14ac:dyDescent="0.25">
      <c r="A253" s="11" t="s">
        <v>1604</v>
      </c>
      <c r="B253">
        <v>1</v>
      </c>
      <c r="C253">
        <v>1</v>
      </c>
      <c r="D253">
        <v>1</v>
      </c>
    </row>
    <row r="254" spans="1:4" x14ac:dyDescent="0.25">
      <c r="A254" s="14" t="s">
        <v>1605</v>
      </c>
      <c r="B254">
        <v>1</v>
      </c>
      <c r="C254">
        <v>1</v>
      </c>
      <c r="D254">
        <v>1</v>
      </c>
    </row>
    <row r="255" spans="1:4" x14ac:dyDescent="0.25">
      <c r="A255" s="15" t="s">
        <v>1606</v>
      </c>
      <c r="B255">
        <v>1</v>
      </c>
      <c r="C255">
        <v>1</v>
      </c>
      <c r="D255">
        <v>1</v>
      </c>
    </row>
    <row r="256" spans="1:4" x14ac:dyDescent="0.25">
      <c r="A256" s="11" t="s">
        <v>875</v>
      </c>
      <c r="B256">
        <v>6</v>
      </c>
      <c r="C256">
        <v>6</v>
      </c>
      <c r="D256">
        <v>6</v>
      </c>
    </row>
    <row r="257" spans="1:4" x14ac:dyDescent="0.25">
      <c r="A257" s="14" t="s">
        <v>876</v>
      </c>
      <c r="B257">
        <v>1</v>
      </c>
      <c r="C257">
        <v>1</v>
      </c>
      <c r="D257">
        <v>1</v>
      </c>
    </row>
    <row r="258" spans="1:4" x14ac:dyDescent="0.25">
      <c r="A258" s="15" t="s">
        <v>877</v>
      </c>
      <c r="B258">
        <v>1</v>
      </c>
      <c r="C258">
        <v>1</v>
      </c>
      <c r="D258">
        <v>1</v>
      </c>
    </row>
    <row r="259" spans="1:4" x14ac:dyDescent="0.25">
      <c r="A259" s="14" t="s">
        <v>1226</v>
      </c>
      <c r="B259">
        <v>2</v>
      </c>
      <c r="C259">
        <v>2</v>
      </c>
      <c r="D259">
        <v>2</v>
      </c>
    </row>
    <row r="260" spans="1:4" x14ac:dyDescent="0.25">
      <c r="A260" s="15" t="s">
        <v>1227</v>
      </c>
      <c r="B260">
        <v>2</v>
      </c>
      <c r="C260">
        <v>2</v>
      </c>
      <c r="D260">
        <v>2</v>
      </c>
    </row>
    <row r="261" spans="1:4" x14ac:dyDescent="0.25">
      <c r="A261" s="14" t="s">
        <v>1747</v>
      </c>
      <c r="B261">
        <v>3</v>
      </c>
      <c r="C261">
        <v>3</v>
      </c>
      <c r="D261">
        <v>3</v>
      </c>
    </row>
    <row r="262" spans="1:4" x14ac:dyDescent="0.25">
      <c r="A262" s="15" t="s">
        <v>1748</v>
      </c>
      <c r="B262">
        <v>3</v>
      </c>
      <c r="C262">
        <v>3</v>
      </c>
      <c r="D262">
        <v>3</v>
      </c>
    </row>
    <row r="263" spans="1:4" x14ac:dyDescent="0.25">
      <c r="A263" s="7" t="s">
        <v>1808</v>
      </c>
      <c r="B263">
        <v>6</v>
      </c>
      <c r="C263">
        <v>6</v>
      </c>
      <c r="D263">
        <v>6</v>
      </c>
    </row>
    <row r="264" spans="1:4" x14ac:dyDescent="0.25">
      <c r="A264" s="10" t="s">
        <v>1091</v>
      </c>
      <c r="B264">
        <v>1</v>
      </c>
      <c r="C264">
        <v>1</v>
      </c>
      <c r="D264">
        <v>1</v>
      </c>
    </row>
    <row r="265" spans="1:4" x14ac:dyDescent="0.25">
      <c r="A265" s="11" t="s">
        <v>1092</v>
      </c>
      <c r="B265">
        <v>1</v>
      </c>
      <c r="C265">
        <v>1</v>
      </c>
      <c r="D265">
        <v>1</v>
      </c>
    </row>
    <row r="266" spans="1:4" x14ac:dyDescent="0.25">
      <c r="A266" s="14" t="s">
        <v>1093</v>
      </c>
      <c r="B266">
        <v>1</v>
      </c>
      <c r="C266">
        <v>1</v>
      </c>
      <c r="D266">
        <v>1</v>
      </c>
    </row>
    <row r="267" spans="1:4" x14ac:dyDescent="0.25">
      <c r="A267" s="15" t="s">
        <v>1094</v>
      </c>
      <c r="B267">
        <v>1</v>
      </c>
      <c r="C267">
        <v>1</v>
      </c>
      <c r="D267">
        <v>1</v>
      </c>
    </row>
    <row r="268" spans="1:4" x14ac:dyDescent="0.25">
      <c r="A268" s="10" t="s">
        <v>1167</v>
      </c>
      <c r="B268">
        <v>2</v>
      </c>
      <c r="C268">
        <v>2</v>
      </c>
      <c r="D268">
        <v>2</v>
      </c>
    </row>
    <row r="269" spans="1:4" x14ac:dyDescent="0.25">
      <c r="A269" s="11" t="s">
        <v>1168</v>
      </c>
      <c r="B269">
        <v>1</v>
      </c>
      <c r="C269">
        <v>1</v>
      </c>
      <c r="D269">
        <v>1</v>
      </c>
    </row>
    <row r="270" spans="1:4" x14ac:dyDescent="0.25">
      <c r="A270" s="14" t="s">
        <v>1169</v>
      </c>
      <c r="B270">
        <v>1</v>
      </c>
      <c r="C270">
        <v>1</v>
      </c>
      <c r="D270">
        <v>1</v>
      </c>
    </row>
    <row r="271" spans="1:4" x14ac:dyDescent="0.25">
      <c r="A271" s="15" t="s">
        <v>1170</v>
      </c>
      <c r="B271">
        <v>1</v>
      </c>
      <c r="C271">
        <v>1</v>
      </c>
      <c r="D271">
        <v>1</v>
      </c>
    </row>
    <row r="272" spans="1:4" x14ac:dyDescent="0.25">
      <c r="A272" s="11" t="s">
        <v>1728</v>
      </c>
      <c r="B272">
        <v>1</v>
      </c>
      <c r="C272">
        <v>1</v>
      </c>
      <c r="D272">
        <v>1</v>
      </c>
    </row>
    <row r="273" spans="1:4" x14ac:dyDescent="0.25">
      <c r="A273" s="14" t="s">
        <v>1729</v>
      </c>
      <c r="B273">
        <v>1</v>
      </c>
      <c r="C273">
        <v>1</v>
      </c>
      <c r="D273">
        <v>1</v>
      </c>
    </row>
    <row r="274" spans="1:4" x14ac:dyDescent="0.25">
      <c r="A274" s="15" t="s">
        <v>1730</v>
      </c>
      <c r="B274">
        <v>1</v>
      </c>
      <c r="C274">
        <v>1</v>
      </c>
      <c r="D274">
        <v>1</v>
      </c>
    </row>
    <row r="275" spans="1:4" x14ac:dyDescent="0.25">
      <c r="A275" s="10" t="s">
        <v>938</v>
      </c>
      <c r="B275">
        <v>3</v>
      </c>
      <c r="C275">
        <v>3</v>
      </c>
      <c r="D275">
        <v>3</v>
      </c>
    </row>
    <row r="276" spans="1:4" x14ac:dyDescent="0.25">
      <c r="A276" s="11" t="s">
        <v>939</v>
      </c>
      <c r="B276">
        <v>3</v>
      </c>
      <c r="C276">
        <v>3</v>
      </c>
      <c r="D276">
        <v>3</v>
      </c>
    </row>
    <row r="277" spans="1:4" x14ac:dyDescent="0.25">
      <c r="A277" s="14" t="s">
        <v>1550</v>
      </c>
      <c r="B277">
        <v>2</v>
      </c>
      <c r="C277">
        <v>2</v>
      </c>
      <c r="D277">
        <v>2</v>
      </c>
    </row>
    <row r="278" spans="1:4" x14ac:dyDescent="0.25">
      <c r="A278" s="15" t="s">
        <v>1551</v>
      </c>
      <c r="B278">
        <v>2</v>
      </c>
      <c r="C278">
        <v>2</v>
      </c>
      <c r="D278">
        <v>2</v>
      </c>
    </row>
    <row r="279" spans="1:4" x14ac:dyDescent="0.25">
      <c r="A279" s="14" t="s">
        <v>940</v>
      </c>
      <c r="B279">
        <v>1</v>
      </c>
      <c r="C279">
        <v>1</v>
      </c>
      <c r="D279">
        <v>1</v>
      </c>
    </row>
    <row r="280" spans="1:4" x14ac:dyDescent="0.25">
      <c r="A280" s="15" t="s">
        <v>941</v>
      </c>
      <c r="B280">
        <v>1</v>
      </c>
      <c r="C280">
        <v>1</v>
      </c>
      <c r="D280">
        <v>1</v>
      </c>
    </row>
    <row r="281" spans="1:4" x14ac:dyDescent="0.25">
      <c r="A281" s="7" t="s">
        <v>1809</v>
      </c>
      <c r="B281">
        <v>17</v>
      </c>
      <c r="C281">
        <v>17</v>
      </c>
      <c r="D281">
        <v>17</v>
      </c>
    </row>
    <row r="282" spans="1:4" x14ac:dyDescent="0.25">
      <c r="A282" s="10" t="s">
        <v>1065</v>
      </c>
      <c r="B282">
        <v>9</v>
      </c>
      <c r="C282">
        <v>9</v>
      </c>
      <c r="D282">
        <v>9</v>
      </c>
    </row>
    <row r="283" spans="1:4" x14ac:dyDescent="0.25">
      <c r="A283" s="11" t="s">
        <v>1669</v>
      </c>
      <c r="B283">
        <v>1</v>
      </c>
      <c r="C283">
        <v>1</v>
      </c>
      <c r="D283">
        <v>1</v>
      </c>
    </row>
    <row r="284" spans="1:4" x14ac:dyDescent="0.25">
      <c r="A284" s="14" t="s">
        <v>1670</v>
      </c>
      <c r="B284">
        <v>1</v>
      </c>
      <c r="C284">
        <v>1</v>
      </c>
      <c r="D284">
        <v>1</v>
      </c>
    </row>
    <row r="285" spans="1:4" x14ac:dyDescent="0.25">
      <c r="A285" s="15" t="s">
        <v>1671</v>
      </c>
      <c r="B285">
        <v>1</v>
      </c>
      <c r="C285">
        <v>1</v>
      </c>
      <c r="D285">
        <v>1</v>
      </c>
    </row>
    <row r="286" spans="1:4" x14ac:dyDescent="0.25">
      <c r="A286" s="11" t="s">
        <v>1352</v>
      </c>
      <c r="B286">
        <v>1</v>
      </c>
      <c r="C286">
        <v>1</v>
      </c>
      <c r="D286">
        <v>1</v>
      </c>
    </row>
    <row r="287" spans="1:4" x14ac:dyDescent="0.25">
      <c r="A287" s="14" t="s">
        <v>1353</v>
      </c>
      <c r="B287">
        <v>1</v>
      </c>
      <c r="C287">
        <v>1</v>
      </c>
      <c r="D287">
        <v>1</v>
      </c>
    </row>
    <row r="288" spans="1:4" x14ac:dyDescent="0.25">
      <c r="A288" s="15" t="s">
        <v>1354</v>
      </c>
      <c r="B288">
        <v>1</v>
      </c>
      <c r="C288">
        <v>1</v>
      </c>
      <c r="D288">
        <v>1</v>
      </c>
    </row>
    <row r="289" spans="1:4" x14ac:dyDescent="0.25">
      <c r="A289" s="11" t="s">
        <v>1066</v>
      </c>
      <c r="B289">
        <v>7</v>
      </c>
      <c r="C289">
        <v>7</v>
      </c>
      <c r="D289">
        <v>7</v>
      </c>
    </row>
    <row r="290" spans="1:4" x14ac:dyDescent="0.25">
      <c r="A290" s="14" t="s">
        <v>1541</v>
      </c>
      <c r="B290">
        <v>3</v>
      </c>
      <c r="C290">
        <v>3</v>
      </c>
      <c r="D290">
        <v>3</v>
      </c>
    </row>
    <row r="291" spans="1:4" x14ac:dyDescent="0.25">
      <c r="A291" s="15" t="s">
        <v>1542</v>
      </c>
      <c r="B291">
        <v>3</v>
      </c>
      <c r="C291">
        <v>3</v>
      </c>
      <c r="D291">
        <v>3</v>
      </c>
    </row>
    <row r="292" spans="1:4" x14ac:dyDescent="0.25">
      <c r="A292" s="14" t="s">
        <v>1737</v>
      </c>
      <c r="B292">
        <v>1</v>
      </c>
      <c r="C292">
        <v>1</v>
      </c>
      <c r="D292">
        <v>1</v>
      </c>
    </row>
    <row r="293" spans="1:4" x14ac:dyDescent="0.25">
      <c r="A293" s="15" t="s">
        <v>1738</v>
      </c>
      <c r="B293">
        <v>1</v>
      </c>
      <c r="C293">
        <v>1</v>
      </c>
      <c r="D293">
        <v>1</v>
      </c>
    </row>
    <row r="294" spans="1:4" x14ac:dyDescent="0.25">
      <c r="A294" s="14" t="s">
        <v>1262</v>
      </c>
      <c r="B294">
        <v>1</v>
      </c>
      <c r="C294">
        <v>1</v>
      </c>
      <c r="D294">
        <v>1</v>
      </c>
    </row>
    <row r="295" spans="1:4" x14ac:dyDescent="0.25">
      <c r="A295" s="15" t="s">
        <v>1263</v>
      </c>
      <c r="B295">
        <v>1</v>
      </c>
      <c r="C295">
        <v>1</v>
      </c>
      <c r="D295">
        <v>1</v>
      </c>
    </row>
    <row r="296" spans="1:4" x14ac:dyDescent="0.25">
      <c r="A296" s="14" t="s">
        <v>1067</v>
      </c>
      <c r="B296">
        <v>1</v>
      </c>
      <c r="C296">
        <v>1</v>
      </c>
      <c r="D296">
        <v>1</v>
      </c>
    </row>
    <row r="297" spans="1:4" x14ac:dyDescent="0.25">
      <c r="A297" s="15" t="s">
        <v>1068</v>
      </c>
      <c r="B297">
        <v>1</v>
      </c>
      <c r="C297">
        <v>1</v>
      </c>
      <c r="D297">
        <v>1</v>
      </c>
    </row>
    <row r="298" spans="1:4" x14ac:dyDescent="0.25">
      <c r="A298" s="14" t="s">
        <v>1476</v>
      </c>
      <c r="B298">
        <v>1</v>
      </c>
      <c r="C298">
        <v>1</v>
      </c>
      <c r="D298">
        <v>1</v>
      </c>
    </row>
    <row r="299" spans="1:4" x14ac:dyDescent="0.25">
      <c r="A299" s="15" t="s">
        <v>1477</v>
      </c>
      <c r="B299">
        <v>1</v>
      </c>
      <c r="C299">
        <v>1</v>
      </c>
      <c r="D299">
        <v>1</v>
      </c>
    </row>
    <row r="300" spans="1:4" x14ac:dyDescent="0.25">
      <c r="A300" s="10" t="s">
        <v>978</v>
      </c>
      <c r="B300">
        <v>7</v>
      </c>
      <c r="C300">
        <v>7</v>
      </c>
      <c r="D300">
        <v>7</v>
      </c>
    </row>
    <row r="301" spans="1:4" x14ac:dyDescent="0.25">
      <c r="A301" s="11" t="s">
        <v>1316</v>
      </c>
      <c r="B301">
        <v>1</v>
      </c>
      <c r="C301">
        <v>1</v>
      </c>
      <c r="D301">
        <v>1</v>
      </c>
    </row>
    <row r="302" spans="1:4" x14ac:dyDescent="0.25">
      <c r="A302" s="14" t="s">
        <v>1317</v>
      </c>
      <c r="B302">
        <v>1</v>
      </c>
      <c r="C302">
        <v>1</v>
      </c>
      <c r="D302">
        <v>1</v>
      </c>
    </row>
    <row r="303" spans="1:4" x14ac:dyDescent="0.25">
      <c r="A303" s="15" t="s">
        <v>1318</v>
      </c>
      <c r="B303">
        <v>1</v>
      </c>
      <c r="C303">
        <v>1</v>
      </c>
      <c r="D303">
        <v>1</v>
      </c>
    </row>
    <row r="304" spans="1:4" x14ac:dyDescent="0.25">
      <c r="A304" s="11" t="s">
        <v>1707</v>
      </c>
      <c r="B304">
        <v>2</v>
      </c>
      <c r="C304">
        <v>2</v>
      </c>
      <c r="D304">
        <v>2</v>
      </c>
    </row>
    <row r="305" spans="1:4" x14ac:dyDescent="0.25">
      <c r="A305" s="14" t="s">
        <v>1708</v>
      </c>
      <c r="B305">
        <v>2</v>
      </c>
      <c r="C305">
        <v>2</v>
      </c>
      <c r="D305">
        <v>2</v>
      </c>
    </row>
    <row r="306" spans="1:4" x14ac:dyDescent="0.25">
      <c r="A306" s="15" t="s">
        <v>1709</v>
      </c>
      <c r="B306">
        <v>2</v>
      </c>
      <c r="C306">
        <v>2</v>
      </c>
      <c r="D306">
        <v>2</v>
      </c>
    </row>
    <row r="307" spans="1:4" x14ac:dyDescent="0.25">
      <c r="A307" s="11" t="s">
        <v>979</v>
      </c>
      <c r="B307">
        <v>3</v>
      </c>
      <c r="C307">
        <v>3</v>
      </c>
      <c r="D307">
        <v>3</v>
      </c>
    </row>
    <row r="308" spans="1:4" x14ac:dyDescent="0.25">
      <c r="A308" s="14" t="s">
        <v>980</v>
      </c>
      <c r="B308">
        <v>3</v>
      </c>
      <c r="C308">
        <v>3</v>
      </c>
      <c r="D308">
        <v>3</v>
      </c>
    </row>
    <row r="309" spans="1:4" x14ac:dyDescent="0.25">
      <c r="A309" s="15" t="s">
        <v>1592</v>
      </c>
      <c r="B309">
        <v>2</v>
      </c>
      <c r="C309">
        <v>2</v>
      </c>
      <c r="D309">
        <v>2</v>
      </c>
    </row>
    <row r="310" spans="1:4" x14ac:dyDescent="0.25">
      <c r="A310" s="15" t="s">
        <v>981</v>
      </c>
      <c r="B310">
        <v>1</v>
      </c>
      <c r="C310">
        <v>1</v>
      </c>
      <c r="D310">
        <v>1</v>
      </c>
    </row>
    <row r="311" spans="1:4" x14ac:dyDescent="0.25">
      <c r="A311" s="11" t="s">
        <v>1699</v>
      </c>
      <c r="B311">
        <v>1</v>
      </c>
      <c r="C311">
        <v>1</v>
      </c>
      <c r="D311">
        <v>1</v>
      </c>
    </row>
    <row r="312" spans="1:4" x14ac:dyDescent="0.25">
      <c r="A312" s="14" t="s">
        <v>1700</v>
      </c>
      <c r="B312">
        <v>1</v>
      </c>
      <c r="C312">
        <v>1</v>
      </c>
      <c r="D312">
        <v>1</v>
      </c>
    </row>
    <row r="313" spans="1:4" x14ac:dyDescent="0.25">
      <c r="A313" s="15" t="s">
        <v>1701</v>
      </c>
      <c r="B313">
        <v>1</v>
      </c>
      <c r="C313">
        <v>1</v>
      </c>
      <c r="D313">
        <v>1</v>
      </c>
    </row>
    <row r="314" spans="1:4" x14ac:dyDescent="0.25">
      <c r="A314" s="10" t="s">
        <v>1681</v>
      </c>
      <c r="B314">
        <v>1</v>
      </c>
      <c r="C314">
        <v>1</v>
      </c>
      <c r="D314">
        <v>1</v>
      </c>
    </row>
    <row r="315" spans="1:4" x14ac:dyDescent="0.25">
      <c r="A315" s="11" t="s">
        <v>1682</v>
      </c>
      <c r="B315">
        <v>1</v>
      </c>
      <c r="C315">
        <v>1</v>
      </c>
      <c r="D315">
        <v>1</v>
      </c>
    </row>
    <row r="316" spans="1:4" x14ac:dyDescent="0.25">
      <c r="A316" s="14" t="s">
        <v>1683</v>
      </c>
      <c r="B316">
        <v>1</v>
      </c>
      <c r="C316">
        <v>1</v>
      </c>
      <c r="D316">
        <v>1</v>
      </c>
    </row>
    <row r="317" spans="1:4" x14ac:dyDescent="0.25">
      <c r="A317" s="15" t="s">
        <v>1684</v>
      </c>
      <c r="B317">
        <v>1</v>
      </c>
      <c r="C317">
        <v>1</v>
      </c>
      <c r="D317">
        <v>1</v>
      </c>
    </row>
    <row r="318" spans="1:4" x14ac:dyDescent="0.25">
      <c r="A318" s="7" t="s">
        <v>1810</v>
      </c>
      <c r="B318">
        <v>267</v>
      </c>
      <c r="C318">
        <v>267</v>
      </c>
      <c r="D318">
        <v>267</v>
      </c>
    </row>
    <row r="319" spans="1:4" x14ac:dyDescent="0.25">
      <c r="A319" s="10" t="s">
        <v>1057</v>
      </c>
      <c r="B319">
        <v>2</v>
      </c>
      <c r="C319">
        <v>2</v>
      </c>
      <c r="D319">
        <v>2</v>
      </c>
    </row>
    <row r="320" spans="1:4" x14ac:dyDescent="0.25">
      <c r="A320" s="11" t="s">
        <v>1058</v>
      </c>
      <c r="B320">
        <v>2</v>
      </c>
      <c r="C320">
        <v>2</v>
      </c>
      <c r="D320">
        <v>2</v>
      </c>
    </row>
    <row r="321" spans="1:4" x14ac:dyDescent="0.25">
      <c r="A321" s="14" t="s">
        <v>1059</v>
      </c>
      <c r="B321">
        <v>2</v>
      </c>
      <c r="C321">
        <v>2</v>
      </c>
      <c r="D321">
        <v>2</v>
      </c>
    </row>
    <row r="322" spans="1:4" x14ac:dyDescent="0.25">
      <c r="A322" s="15" t="s">
        <v>1060</v>
      </c>
      <c r="B322">
        <v>2</v>
      </c>
      <c r="C322">
        <v>2</v>
      </c>
      <c r="D322">
        <v>2</v>
      </c>
    </row>
    <row r="323" spans="1:4" x14ac:dyDescent="0.25">
      <c r="A323" s="10" t="s">
        <v>837</v>
      </c>
      <c r="B323">
        <v>265</v>
      </c>
      <c r="C323">
        <v>265</v>
      </c>
      <c r="D323">
        <v>265</v>
      </c>
    </row>
    <row r="324" spans="1:4" x14ac:dyDescent="0.25">
      <c r="A324" s="11" t="s">
        <v>880</v>
      </c>
      <c r="B324">
        <v>66</v>
      </c>
      <c r="C324">
        <v>66</v>
      </c>
      <c r="D324">
        <v>66</v>
      </c>
    </row>
    <row r="325" spans="1:4" x14ac:dyDescent="0.25">
      <c r="A325" s="14" t="s">
        <v>1111</v>
      </c>
      <c r="B325">
        <v>9</v>
      </c>
      <c r="C325">
        <v>9</v>
      </c>
      <c r="D325">
        <v>9</v>
      </c>
    </row>
    <row r="326" spans="1:4" x14ac:dyDescent="0.25">
      <c r="A326" s="15" t="s">
        <v>1112</v>
      </c>
      <c r="B326">
        <v>4</v>
      </c>
      <c r="C326">
        <v>4</v>
      </c>
      <c r="D326">
        <v>4</v>
      </c>
    </row>
    <row r="327" spans="1:4" x14ac:dyDescent="0.25">
      <c r="A327" s="15" t="s">
        <v>1193</v>
      </c>
      <c r="B327">
        <v>5</v>
      </c>
      <c r="C327">
        <v>5</v>
      </c>
      <c r="D327">
        <v>5</v>
      </c>
    </row>
    <row r="328" spans="1:4" x14ac:dyDescent="0.25">
      <c r="A328" s="14" t="s">
        <v>1200</v>
      </c>
      <c r="B328">
        <v>4</v>
      </c>
      <c r="C328">
        <v>4</v>
      </c>
      <c r="D328">
        <v>4</v>
      </c>
    </row>
    <row r="329" spans="1:4" x14ac:dyDescent="0.25">
      <c r="A329" s="15" t="s">
        <v>1201</v>
      </c>
      <c r="B329">
        <v>4</v>
      </c>
      <c r="C329">
        <v>4</v>
      </c>
      <c r="D329">
        <v>4</v>
      </c>
    </row>
    <row r="330" spans="1:4" x14ac:dyDescent="0.25">
      <c r="A330" s="14" t="s">
        <v>881</v>
      </c>
      <c r="B330">
        <v>17</v>
      </c>
      <c r="C330">
        <v>17</v>
      </c>
      <c r="D330">
        <v>17</v>
      </c>
    </row>
    <row r="331" spans="1:4" x14ac:dyDescent="0.25">
      <c r="A331" s="15" t="s">
        <v>882</v>
      </c>
      <c r="B331">
        <v>8</v>
      </c>
      <c r="C331">
        <v>8</v>
      </c>
      <c r="D331">
        <v>8</v>
      </c>
    </row>
    <row r="332" spans="1:4" x14ac:dyDescent="0.25">
      <c r="A332" s="15" t="s">
        <v>895</v>
      </c>
      <c r="B332">
        <v>5</v>
      </c>
      <c r="C332">
        <v>5</v>
      </c>
      <c r="D332">
        <v>5</v>
      </c>
    </row>
    <row r="333" spans="1:4" x14ac:dyDescent="0.25">
      <c r="A333" s="15" t="s">
        <v>1078</v>
      </c>
      <c r="B333">
        <v>4</v>
      </c>
      <c r="C333">
        <v>4</v>
      </c>
      <c r="D333">
        <v>4</v>
      </c>
    </row>
    <row r="334" spans="1:4" x14ac:dyDescent="0.25">
      <c r="A334" s="14" t="s">
        <v>1195</v>
      </c>
      <c r="B334">
        <v>2</v>
      </c>
      <c r="C334">
        <v>2</v>
      </c>
      <c r="D334">
        <v>2</v>
      </c>
    </row>
    <row r="335" spans="1:4" x14ac:dyDescent="0.25">
      <c r="A335" s="15" t="s">
        <v>1712</v>
      </c>
      <c r="B335">
        <v>1</v>
      </c>
      <c r="C335">
        <v>1</v>
      </c>
      <c r="D335">
        <v>1</v>
      </c>
    </row>
    <row r="336" spans="1:4" x14ac:dyDescent="0.25">
      <c r="A336" s="15" t="s">
        <v>1196</v>
      </c>
      <c r="B336">
        <v>1</v>
      </c>
      <c r="C336">
        <v>1</v>
      </c>
      <c r="D336">
        <v>1</v>
      </c>
    </row>
    <row r="337" spans="1:4" x14ac:dyDescent="0.25">
      <c r="A337" s="14" t="s">
        <v>1172</v>
      </c>
      <c r="B337">
        <v>1</v>
      </c>
      <c r="C337">
        <v>1</v>
      </c>
      <c r="D337">
        <v>1</v>
      </c>
    </row>
    <row r="338" spans="1:4" x14ac:dyDescent="0.25">
      <c r="A338" s="15" t="s">
        <v>1173</v>
      </c>
      <c r="B338">
        <v>1</v>
      </c>
      <c r="C338">
        <v>1</v>
      </c>
      <c r="D338">
        <v>1</v>
      </c>
    </row>
    <row r="339" spans="1:4" x14ac:dyDescent="0.25">
      <c r="A339" s="14" t="s">
        <v>915</v>
      </c>
      <c r="B339">
        <v>32</v>
      </c>
      <c r="C339">
        <v>32</v>
      </c>
      <c r="D339">
        <v>32</v>
      </c>
    </row>
    <row r="340" spans="1:4" x14ac:dyDescent="0.25">
      <c r="A340" s="15" t="s">
        <v>1153</v>
      </c>
      <c r="B340">
        <v>1</v>
      </c>
      <c r="C340">
        <v>1</v>
      </c>
      <c r="D340">
        <v>1</v>
      </c>
    </row>
    <row r="341" spans="1:4" x14ac:dyDescent="0.25">
      <c r="A341" s="15" t="s">
        <v>916</v>
      </c>
      <c r="B341">
        <v>29</v>
      </c>
      <c r="C341">
        <v>29</v>
      </c>
      <c r="D341">
        <v>29</v>
      </c>
    </row>
    <row r="342" spans="1:4" x14ac:dyDescent="0.25">
      <c r="A342" s="15" t="s">
        <v>1725</v>
      </c>
      <c r="B342">
        <v>2</v>
      </c>
      <c r="C342">
        <v>2</v>
      </c>
      <c r="D342">
        <v>2</v>
      </c>
    </row>
    <row r="343" spans="1:4" x14ac:dyDescent="0.25">
      <c r="A343" s="14" t="s">
        <v>1298</v>
      </c>
      <c r="B343">
        <v>1</v>
      </c>
      <c r="C343">
        <v>1</v>
      </c>
      <c r="D343">
        <v>1</v>
      </c>
    </row>
    <row r="344" spans="1:4" x14ac:dyDescent="0.25">
      <c r="A344" s="15" t="s">
        <v>1299</v>
      </c>
      <c r="B344">
        <v>1</v>
      </c>
      <c r="C344">
        <v>1</v>
      </c>
      <c r="D344">
        <v>1</v>
      </c>
    </row>
    <row r="345" spans="1:4" x14ac:dyDescent="0.25">
      <c r="A345" s="11" t="s">
        <v>838</v>
      </c>
      <c r="B345">
        <v>190</v>
      </c>
      <c r="C345">
        <v>190</v>
      </c>
      <c r="D345">
        <v>190</v>
      </c>
    </row>
    <row r="346" spans="1:4" x14ac:dyDescent="0.25">
      <c r="A346" s="14" t="s">
        <v>1311</v>
      </c>
      <c r="B346">
        <v>5</v>
      </c>
      <c r="C346">
        <v>5</v>
      </c>
      <c r="D346">
        <v>5</v>
      </c>
    </row>
    <row r="347" spans="1:4" x14ac:dyDescent="0.25">
      <c r="A347" s="15" t="s">
        <v>1312</v>
      </c>
      <c r="B347">
        <v>4</v>
      </c>
      <c r="C347">
        <v>4</v>
      </c>
      <c r="D347">
        <v>4</v>
      </c>
    </row>
    <row r="348" spans="1:4" x14ac:dyDescent="0.25">
      <c r="A348" s="15" t="s">
        <v>1557</v>
      </c>
      <c r="B348">
        <v>1</v>
      </c>
      <c r="C348">
        <v>1</v>
      </c>
      <c r="D348">
        <v>1</v>
      </c>
    </row>
    <row r="349" spans="1:4" x14ac:dyDescent="0.25">
      <c r="A349" s="14" t="s">
        <v>907</v>
      </c>
      <c r="B349">
        <v>34</v>
      </c>
      <c r="C349">
        <v>34</v>
      </c>
      <c r="D349">
        <v>34</v>
      </c>
    </row>
    <row r="350" spans="1:4" x14ac:dyDescent="0.25">
      <c r="A350" s="15" t="s">
        <v>908</v>
      </c>
      <c r="B350">
        <v>33</v>
      </c>
      <c r="C350">
        <v>33</v>
      </c>
      <c r="D350">
        <v>33</v>
      </c>
    </row>
    <row r="351" spans="1:4" x14ac:dyDescent="0.25">
      <c r="A351" s="15" t="s">
        <v>1467</v>
      </c>
      <c r="B351">
        <v>1</v>
      </c>
      <c r="C351">
        <v>1</v>
      </c>
      <c r="D351">
        <v>1</v>
      </c>
    </row>
    <row r="352" spans="1:4" x14ac:dyDescent="0.25">
      <c r="A352" s="14" t="s">
        <v>1190</v>
      </c>
      <c r="B352">
        <v>1</v>
      </c>
      <c r="C352">
        <v>1</v>
      </c>
      <c r="D352">
        <v>1</v>
      </c>
    </row>
    <row r="353" spans="1:4" x14ac:dyDescent="0.25">
      <c r="A353" s="15" t="s">
        <v>1191</v>
      </c>
      <c r="B353">
        <v>1</v>
      </c>
      <c r="C353">
        <v>1</v>
      </c>
      <c r="D353">
        <v>1</v>
      </c>
    </row>
    <row r="354" spans="1:4" x14ac:dyDescent="0.25">
      <c r="A354" s="14" t="s">
        <v>900</v>
      </c>
      <c r="B354">
        <v>25</v>
      </c>
      <c r="C354">
        <v>25</v>
      </c>
      <c r="D354">
        <v>25</v>
      </c>
    </row>
    <row r="355" spans="1:4" x14ac:dyDescent="0.25">
      <c r="A355" s="15" t="s">
        <v>1050</v>
      </c>
      <c r="B355">
        <v>6</v>
      </c>
      <c r="C355">
        <v>6</v>
      </c>
      <c r="D355">
        <v>6</v>
      </c>
    </row>
    <row r="356" spans="1:4" x14ac:dyDescent="0.25">
      <c r="A356" s="15" t="s">
        <v>901</v>
      </c>
      <c r="B356">
        <v>2</v>
      </c>
      <c r="C356">
        <v>2</v>
      </c>
      <c r="D356">
        <v>2</v>
      </c>
    </row>
    <row r="357" spans="1:4" x14ac:dyDescent="0.25">
      <c r="A357" s="15" t="s">
        <v>933</v>
      </c>
      <c r="B357">
        <v>1</v>
      </c>
      <c r="C357">
        <v>1</v>
      </c>
      <c r="D357">
        <v>1</v>
      </c>
    </row>
    <row r="358" spans="1:4" x14ac:dyDescent="0.25">
      <c r="A358" s="15" t="s">
        <v>976</v>
      </c>
      <c r="B358">
        <v>11</v>
      </c>
      <c r="C358">
        <v>11</v>
      </c>
      <c r="D358">
        <v>11</v>
      </c>
    </row>
    <row r="359" spans="1:4" x14ac:dyDescent="0.25">
      <c r="A359" s="15" t="s">
        <v>1421</v>
      </c>
      <c r="B359">
        <v>1</v>
      </c>
      <c r="C359">
        <v>1</v>
      </c>
      <c r="D359">
        <v>1</v>
      </c>
    </row>
    <row r="360" spans="1:4" x14ac:dyDescent="0.25">
      <c r="A360" s="15" t="s">
        <v>1548</v>
      </c>
      <c r="B360">
        <v>1</v>
      </c>
      <c r="C360">
        <v>1</v>
      </c>
      <c r="D360">
        <v>1</v>
      </c>
    </row>
    <row r="361" spans="1:4" x14ac:dyDescent="0.25">
      <c r="A361" s="15" t="s">
        <v>1527</v>
      </c>
      <c r="B361">
        <v>2</v>
      </c>
      <c r="C361">
        <v>2</v>
      </c>
      <c r="D361">
        <v>2</v>
      </c>
    </row>
    <row r="362" spans="1:4" x14ac:dyDescent="0.25">
      <c r="A362" s="15" t="s">
        <v>1688</v>
      </c>
      <c r="B362">
        <v>1</v>
      </c>
      <c r="C362">
        <v>1</v>
      </c>
      <c r="D362">
        <v>1</v>
      </c>
    </row>
    <row r="363" spans="1:4" x14ac:dyDescent="0.25">
      <c r="A363" s="14" t="s">
        <v>1381</v>
      </c>
      <c r="B363">
        <v>1</v>
      </c>
      <c r="C363">
        <v>1</v>
      </c>
      <c r="D363">
        <v>1</v>
      </c>
    </row>
    <row r="364" spans="1:4" x14ac:dyDescent="0.25">
      <c r="A364" s="15" t="s">
        <v>1382</v>
      </c>
      <c r="B364">
        <v>1</v>
      </c>
      <c r="C364">
        <v>1</v>
      </c>
      <c r="D364">
        <v>1</v>
      </c>
    </row>
    <row r="365" spans="1:4" x14ac:dyDescent="0.25">
      <c r="A365" s="14" t="s">
        <v>1175</v>
      </c>
      <c r="B365">
        <v>4</v>
      </c>
      <c r="C365">
        <v>4</v>
      </c>
      <c r="D365">
        <v>4</v>
      </c>
    </row>
    <row r="366" spans="1:4" x14ac:dyDescent="0.25">
      <c r="A366" s="15" t="s">
        <v>1338</v>
      </c>
      <c r="B366">
        <v>2</v>
      </c>
      <c r="C366">
        <v>2</v>
      </c>
      <c r="D366">
        <v>2</v>
      </c>
    </row>
    <row r="367" spans="1:4" x14ac:dyDescent="0.25">
      <c r="A367" s="15" t="s">
        <v>1176</v>
      </c>
      <c r="B367">
        <v>1</v>
      </c>
      <c r="C367">
        <v>1</v>
      </c>
      <c r="D367">
        <v>1</v>
      </c>
    </row>
    <row r="368" spans="1:4" x14ac:dyDescent="0.25">
      <c r="A368" s="15" t="s">
        <v>1623</v>
      </c>
      <c r="B368">
        <v>1</v>
      </c>
      <c r="C368">
        <v>1</v>
      </c>
      <c r="D368">
        <v>1</v>
      </c>
    </row>
    <row r="369" spans="1:4" x14ac:dyDescent="0.25">
      <c r="A369" s="14" t="s">
        <v>842</v>
      </c>
      <c r="B369">
        <v>29</v>
      </c>
      <c r="C369">
        <v>29</v>
      </c>
      <c r="D369">
        <v>29</v>
      </c>
    </row>
    <row r="370" spans="1:4" x14ac:dyDescent="0.25">
      <c r="A370" s="15" t="s">
        <v>843</v>
      </c>
      <c r="B370">
        <v>29</v>
      </c>
      <c r="C370">
        <v>29</v>
      </c>
      <c r="D370">
        <v>29</v>
      </c>
    </row>
    <row r="371" spans="1:4" x14ac:dyDescent="0.25">
      <c r="A371" s="14" t="s">
        <v>1054</v>
      </c>
      <c r="B371">
        <v>3</v>
      </c>
      <c r="C371">
        <v>3</v>
      </c>
      <c r="D371">
        <v>3</v>
      </c>
    </row>
    <row r="372" spans="1:4" x14ac:dyDescent="0.25">
      <c r="A372" s="15" t="s">
        <v>1055</v>
      </c>
      <c r="B372">
        <v>2</v>
      </c>
      <c r="C372">
        <v>2</v>
      </c>
      <c r="D372">
        <v>2</v>
      </c>
    </row>
    <row r="373" spans="1:4" x14ac:dyDescent="0.25">
      <c r="A373" s="15" t="s">
        <v>1600</v>
      </c>
      <c r="B373">
        <v>1</v>
      </c>
      <c r="C373">
        <v>1</v>
      </c>
      <c r="D373">
        <v>1</v>
      </c>
    </row>
    <row r="374" spans="1:4" x14ac:dyDescent="0.25">
      <c r="A374" s="14" t="s">
        <v>953</v>
      </c>
      <c r="B374">
        <v>4</v>
      </c>
      <c r="C374">
        <v>4</v>
      </c>
      <c r="D374">
        <v>4</v>
      </c>
    </row>
    <row r="375" spans="1:4" x14ac:dyDescent="0.25">
      <c r="A375" s="15" t="s">
        <v>954</v>
      </c>
      <c r="B375">
        <v>4</v>
      </c>
      <c r="C375">
        <v>4</v>
      </c>
      <c r="D375">
        <v>4</v>
      </c>
    </row>
    <row r="376" spans="1:4" x14ac:dyDescent="0.25">
      <c r="A376" s="14" t="s">
        <v>1514</v>
      </c>
      <c r="B376">
        <v>1</v>
      </c>
      <c r="C376">
        <v>1</v>
      </c>
      <c r="D376">
        <v>1</v>
      </c>
    </row>
    <row r="377" spans="1:4" x14ac:dyDescent="0.25">
      <c r="A377" s="15" t="s">
        <v>1515</v>
      </c>
      <c r="B377">
        <v>1</v>
      </c>
      <c r="C377">
        <v>1</v>
      </c>
      <c r="D377">
        <v>1</v>
      </c>
    </row>
    <row r="378" spans="1:4" x14ac:dyDescent="0.25">
      <c r="A378" s="14" t="s">
        <v>846</v>
      </c>
      <c r="B378">
        <v>12</v>
      </c>
      <c r="C378">
        <v>12</v>
      </c>
      <c r="D378">
        <v>12</v>
      </c>
    </row>
    <row r="379" spans="1:4" x14ac:dyDescent="0.25">
      <c r="A379" s="15" t="s">
        <v>847</v>
      </c>
      <c r="B379">
        <v>1</v>
      </c>
      <c r="C379">
        <v>1</v>
      </c>
      <c r="D379">
        <v>1</v>
      </c>
    </row>
    <row r="380" spans="1:4" x14ac:dyDescent="0.25">
      <c r="A380" s="15" t="s">
        <v>1665</v>
      </c>
      <c r="B380">
        <v>1</v>
      </c>
      <c r="C380">
        <v>1</v>
      </c>
      <c r="D380">
        <v>1</v>
      </c>
    </row>
    <row r="381" spans="1:4" x14ac:dyDescent="0.25">
      <c r="A381" s="15" t="s">
        <v>1255</v>
      </c>
      <c r="B381">
        <v>4</v>
      </c>
      <c r="C381">
        <v>4</v>
      </c>
      <c r="D381">
        <v>4</v>
      </c>
    </row>
    <row r="382" spans="1:4" x14ac:dyDescent="0.25">
      <c r="A382" s="15" t="s">
        <v>1511</v>
      </c>
      <c r="B382">
        <v>1</v>
      </c>
      <c r="C382">
        <v>1</v>
      </c>
      <c r="D382">
        <v>1</v>
      </c>
    </row>
    <row r="383" spans="1:4" x14ac:dyDescent="0.25">
      <c r="A383" s="15" t="s">
        <v>1018</v>
      </c>
      <c r="B383">
        <v>2</v>
      </c>
      <c r="C383">
        <v>2</v>
      </c>
      <c r="D383">
        <v>2</v>
      </c>
    </row>
    <row r="384" spans="1:4" x14ac:dyDescent="0.25">
      <c r="A384" s="15" t="s">
        <v>1101</v>
      </c>
      <c r="B384">
        <v>3</v>
      </c>
      <c r="C384">
        <v>3</v>
      </c>
      <c r="D384">
        <v>3</v>
      </c>
    </row>
    <row r="385" spans="1:4" x14ac:dyDescent="0.25">
      <c r="A385" s="14" t="s">
        <v>1524</v>
      </c>
      <c r="B385">
        <v>1</v>
      </c>
      <c r="C385">
        <v>1</v>
      </c>
      <c r="D385">
        <v>1</v>
      </c>
    </row>
    <row r="386" spans="1:4" x14ac:dyDescent="0.25">
      <c r="A386" s="15" t="s">
        <v>1525</v>
      </c>
      <c r="B386">
        <v>1</v>
      </c>
      <c r="C386">
        <v>1</v>
      </c>
      <c r="D386">
        <v>1</v>
      </c>
    </row>
    <row r="387" spans="1:4" x14ac:dyDescent="0.25">
      <c r="A387" s="14" t="s">
        <v>1239</v>
      </c>
      <c r="B387">
        <v>6</v>
      </c>
      <c r="C387">
        <v>6</v>
      </c>
      <c r="D387">
        <v>6</v>
      </c>
    </row>
    <row r="388" spans="1:4" x14ac:dyDescent="0.25">
      <c r="A388" s="15" t="s">
        <v>1240</v>
      </c>
      <c r="B388">
        <v>4</v>
      </c>
      <c r="C388">
        <v>4</v>
      </c>
      <c r="D388">
        <v>4</v>
      </c>
    </row>
    <row r="389" spans="1:4" x14ac:dyDescent="0.25">
      <c r="A389" s="15" t="s">
        <v>1509</v>
      </c>
      <c r="B389">
        <v>1</v>
      </c>
      <c r="C389">
        <v>1</v>
      </c>
      <c r="D389">
        <v>1</v>
      </c>
    </row>
    <row r="390" spans="1:4" x14ac:dyDescent="0.25">
      <c r="A390" s="15" t="s">
        <v>1634</v>
      </c>
      <c r="B390">
        <v>1</v>
      </c>
      <c r="C390">
        <v>1</v>
      </c>
      <c r="D390">
        <v>1</v>
      </c>
    </row>
    <row r="391" spans="1:4" x14ac:dyDescent="0.25">
      <c r="A391" s="14" t="s">
        <v>839</v>
      </c>
      <c r="B391">
        <v>2</v>
      </c>
      <c r="C391">
        <v>2</v>
      </c>
      <c r="D391">
        <v>2</v>
      </c>
    </row>
    <row r="392" spans="1:4" x14ac:dyDescent="0.25">
      <c r="A392" s="15" t="s">
        <v>840</v>
      </c>
      <c r="B392">
        <v>2</v>
      </c>
      <c r="C392">
        <v>2</v>
      </c>
      <c r="D392">
        <v>2</v>
      </c>
    </row>
    <row r="393" spans="1:4" x14ac:dyDescent="0.25">
      <c r="A393" s="14" t="s">
        <v>1107</v>
      </c>
      <c r="B393">
        <v>13</v>
      </c>
      <c r="C393">
        <v>13</v>
      </c>
      <c r="D393">
        <v>13</v>
      </c>
    </row>
    <row r="394" spans="1:4" x14ac:dyDescent="0.25">
      <c r="A394" s="15" t="s">
        <v>1391</v>
      </c>
      <c r="B394">
        <v>1</v>
      </c>
      <c r="C394">
        <v>1</v>
      </c>
      <c r="D394">
        <v>1</v>
      </c>
    </row>
    <row r="395" spans="1:4" x14ac:dyDescent="0.25">
      <c r="A395" s="15" t="s">
        <v>1108</v>
      </c>
      <c r="B395">
        <v>2</v>
      </c>
      <c r="C395">
        <v>2</v>
      </c>
      <c r="D395">
        <v>2</v>
      </c>
    </row>
    <row r="396" spans="1:4" x14ac:dyDescent="0.25">
      <c r="A396" s="15" t="s">
        <v>1236</v>
      </c>
      <c r="B396">
        <v>5</v>
      </c>
      <c r="C396">
        <v>5</v>
      </c>
      <c r="D396">
        <v>5</v>
      </c>
    </row>
    <row r="397" spans="1:4" x14ac:dyDescent="0.25">
      <c r="A397" s="15" t="s">
        <v>1384</v>
      </c>
      <c r="B397">
        <v>5</v>
      </c>
      <c r="C397">
        <v>5</v>
      </c>
      <c r="D397">
        <v>5</v>
      </c>
    </row>
    <row r="398" spans="1:4" x14ac:dyDescent="0.25">
      <c r="A398" s="14" t="s">
        <v>1026</v>
      </c>
      <c r="B398">
        <v>2</v>
      </c>
      <c r="C398">
        <v>2</v>
      </c>
      <c r="D398">
        <v>2</v>
      </c>
    </row>
    <row r="399" spans="1:4" x14ac:dyDescent="0.25">
      <c r="A399" s="15" t="s">
        <v>1027</v>
      </c>
      <c r="B399">
        <v>1</v>
      </c>
      <c r="C399">
        <v>1</v>
      </c>
      <c r="D399">
        <v>1</v>
      </c>
    </row>
    <row r="400" spans="1:4" x14ac:dyDescent="0.25">
      <c r="A400" s="15" t="s">
        <v>1465</v>
      </c>
      <c r="B400">
        <v>1</v>
      </c>
      <c r="C400">
        <v>1</v>
      </c>
      <c r="D400">
        <v>1</v>
      </c>
    </row>
    <row r="401" spans="1:4" x14ac:dyDescent="0.25">
      <c r="A401" s="14" t="s">
        <v>1493</v>
      </c>
      <c r="B401">
        <v>1</v>
      </c>
      <c r="C401">
        <v>1</v>
      </c>
      <c r="D401">
        <v>1</v>
      </c>
    </row>
    <row r="402" spans="1:4" x14ac:dyDescent="0.25">
      <c r="A402" s="15" t="s">
        <v>1494</v>
      </c>
      <c r="B402">
        <v>1</v>
      </c>
      <c r="C402">
        <v>1</v>
      </c>
      <c r="D402">
        <v>1</v>
      </c>
    </row>
    <row r="403" spans="1:4" x14ac:dyDescent="0.25">
      <c r="A403" s="14" t="s">
        <v>959</v>
      </c>
      <c r="B403">
        <v>3</v>
      </c>
      <c r="C403">
        <v>3</v>
      </c>
      <c r="D403">
        <v>3</v>
      </c>
    </row>
    <row r="404" spans="1:4" x14ac:dyDescent="0.25">
      <c r="A404" s="15" t="s">
        <v>960</v>
      </c>
      <c r="B404">
        <v>2</v>
      </c>
      <c r="C404">
        <v>2</v>
      </c>
      <c r="D404">
        <v>2</v>
      </c>
    </row>
    <row r="405" spans="1:4" x14ac:dyDescent="0.25">
      <c r="A405" s="15" t="s">
        <v>1642</v>
      </c>
      <c r="B405">
        <v>1</v>
      </c>
      <c r="C405">
        <v>1</v>
      </c>
      <c r="D405">
        <v>1</v>
      </c>
    </row>
    <row r="406" spans="1:4" x14ac:dyDescent="0.25">
      <c r="A406" s="14" t="s">
        <v>1288</v>
      </c>
      <c r="B406">
        <v>2</v>
      </c>
      <c r="C406">
        <v>2</v>
      </c>
      <c r="D406">
        <v>2</v>
      </c>
    </row>
    <row r="407" spans="1:4" x14ac:dyDescent="0.25">
      <c r="A407" s="15" t="s">
        <v>1559</v>
      </c>
      <c r="B407">
        <v>1</v>
      </c>
      <c r="C407">
        <v>1</v>
      </c>
      <c r="D407">
        <v>1</v>
      </c>
    </row>
    <row r="408" spans="1:4" x14ac:dyDescent="0.25">
      <c r="A408" s="15" t="s">
        <v>1289</v>
      </c>
      <c r="B408">
        <v>1</v>
      </c>
      <c r="C408">
        <v>1</v>
      </c>
      <c r="D408">
        <v>1</v>
      </c>
    </row>
    <row r="409" spans="1:4" x14ac:dyDescent="0.25">
      <c r="A409" s="14" t="s">
        <v>1609</v>
      </c>
      <c r="B409">
        <v>1</v>
      </c>
      <c r="C409">
        <v>1</v>
      </c>
      <c r="D409">
        <v>1</v>
      </c>
    </row>
    <row r="410" spans="1:4" x14ac:dyDescent="0.25">
      <c r="A410" s="15" t="s">
        <v>1610</v>
      </c>
      <c r="B410">
        <v>1</v>
      </c>
      <c r="C410">
        <v>1</v>
      </c>
      <c r="D410">
        <v>1</v>
      </c>
    </row>
    <row r="411" spans="1:4" x14ac:dyDescent="0.25">
      <c r="A411" s="14" t="s">
        <v>963</v>
      </c>
      <c r="B411">
        <v>15</v>
      </c>
      <c r="C411">
        <v>15</v>
      </c>
      <c r="D411">
        <v>15</v>
      </c>
    </row>
    <row r="412" spans="1:4" x14ac:dyDescent="0.25">
      <c r="A412" s="15" t="s">
        <v>1323</v>
      </c>
      <c r="B412">
        <v>1</v>
      </c>
      <c r="C412">
        <v>1</v>
      </c>
      <c r="D412">
        <v>1</v>
      </c>
    </row>
    <row r="413" spans="1:4" x14ac:dyDescent="0.25">
      <c r="A413" s="15" t="s">
        <v>1198</v>
      </c>
      <c r="B413">
        <v>1</v>
      </c>
      <c r="C413">
        <v>1</v>
      </c>
      <c r="D413">
        <v>1</v>
      </c>
    </row>
    <row r="414" spans="1:4" x14ac:dyDescent="0.25">
      <c r="A414" s="15" t="s">
        <v>964</v>
      </c>
      <c r="B414">
        <v>3</v>
      </c>
      <c r="C414">
        <v>3</v>
      </c>
      <c r="D414">
        <v>3</v>
      </c>
    </row>
    <row r="415" spans="1:4" x14ac:dyDescent="0.25">
      <c r="A415" s="15" t="s">
        <v>1114</v>
      </c>
      <c r="B415">
        <v>2</v>
      </c>
      <c r="C415">
        <v>2</v>
      </c>
      <c r="D415">
        <v>2</v>
      </c>
    </row>
    <row r="416" spans="1:4" x14ac:dyDescent="0.25">
      <c r="A416" s="15" t="s">
        <v>1577</v>
      </c>
      <c r="B416">
        <v>8</v>
      </c>
      <c r="C416">
        <v>8</v>
      </c>
      <c r="D416">
        <v>8</v>
      </c>
    </row>
    <row r="417" spans="1:4" x14ac:dyDescent="0.25">
      <c r="A417" s="14" t="s">
        <v>854</v>
      </c>
      <c r="B417">
        <v>10</v>
      </c>
      <c r="C417">
        <v>10</v>
      </c>
      <c r="D417">
        <v>10</v>
      </c>
    </row>
    <row r="418" spans="1:4" x14ac:dyDescent="0.25">
      <c r="A418" s="15" t="s">
        <v>1644</v>
      </c>
      <c r="B418">
        <v>2</v>
      </c>
      <c r="C418">
        <v>2</v>
      </c>
      <c r="D418">
        <v>2</v>
      </c>
    </row>
    <row r="419" spans="1:4" x14ac:dyDescent="0.25">
      <c r="A419" s="15" t="s">
        <v>1410</v>
      </c>
      <c r="B419">
        <v>1</v>
      </c>
      <c r="C419">
        <v>1</v>
      </c>
      <c r="D419">
        <v>1</v>
      </c>
    </row>
    <row r="420" spans="1:4" x14ac:dyDescent="0.25">
      <c r="A420" s="15" t="s">
        <v>1103</v>
      </c>
      <c r="B420">
        <v>4</v>
      </c>
      <c r="C420">
        <v>4</v>
      </c>
      <c r="D420">
        <v>4</v>
      </c>
    </row>
    <row r="421" spans="1:4" x14ac:dyDescent="0.25">
      <c r="A421" s="15" t="s">
        <v>855</v>
      </c>
      <c r="B421">
        <v>2</v>
      </c>
      <c r="C421">
        <v>2</v>
      </c>
      <c r="D421">
        <v>2</v>
      </c>
    </row>
    <row r="422" spans="1:4" x14ac:dyDescent="0.25">
      <c r="A422" s="15" t="s">
        <v>887</v>
      </c>
      <c r="B422">
        <v>1</v>
      </c>
      <c r="C422">
        <v>1</v>
      </c>
      <c r="D422">
        <v>1</v>
      </c>
    </row>
    <row r="423" spans="1:4" x14ac:dyDescent="0.25">
      <c r="A423" s="14" t="s">
        <v>1014</v>
      </c>
      <c r="B423">
        <v>5</v>
      </c>
      <c r="C423">
        <v>5</v>
      </c>
      <c r="D423">
        <v>5</v>
      </c>
    </row>
    <row r="424" spans="1:4" x14ac:dyDescent="0.25">
      <c r="A424" s="15" t="s">
        <v>1015</v>
      </c>
      <c r="B424">
        <v>3</v>
      </c>
      <c r="C424">
        <v>3</v>
      </c>
      <c r="D424">
        <v>3</v>
      </c>
    </row>
    <row r="425" spans="1:4" x14ac:dyDescent="0.25">
      <c r="A425" s="15" t="s">
        <v>1446</v>
      </c>
      <c r="B425">
        <v>2</v>
      </c>
      <c r="C425">
        <v>2</v>
      </c>
      <c r="D425">
        <v>2</v>
      </c>
    </row>
    <row r="426" spans="1:4" x14ac:dyDescent="0.25">
      <c r="A426" s="14" t="s">
        <v>1341</v>
      </c>
      <c r="B426">
        <v>9</v>
      </c>
      <c r="C426">
        <v>9</v>
      </c>
      <c r="D426">
        <v>9</v>
      </c>
    </row>
    <row r="427" spans="1:4" x14ac:dyDescent="0.25">
      <c r="A427" s="15" t="s">
        <v>1342</v>
      </c>
      <c r="B427">
        <v>2</v>
      </c>
      <c r="C427">
        <v>2</v>
      </c>
      <c r="D427">
        <v>2</v>
      </c>
    </row>
    <row r="428" spans="1:4" x14ac:dyDescent="0.25">
      <c r="A428" s="15" t="s">
        <v>1387</v>
      </c>
      <c r="B428">
        <v>7</v>
      </c>
      <c r="C428">
        <v>7</v>
      </c>
      <c r="D428">
        <v>7</v>
      </c>
    </row>
    <row r="429" spans="1:4" x14ac:dyDescent="0.25">
      <c r="A429" s="14" t="s">
        <v>1762</v>
      </c>
      <c r="B429">
        <v>1</v>
      </c>
      <c r="C429">
        <v>1</v>
      </c>
      <c r="D429">
        <v>1</v>
      </c>
    </row>
    <row r="430" spans="1:4" x14ac:dyDescent="0.25">
      <c r="A430" s="15" t="s">
        <v>1763</v>
      </c>
      <c r="B430">
        <v>1</v>
      </c>
      <c r="C430">
        <v>1</v>
      </c>
      <c r="D430">
        <v>1</v>
      </c>
    </row>
    <row r="431" spans="1:4" x14ac:dyDescent="0.25">
      <c r="A431" s="11" t="s">
        <v>1142</v>
      </c>
      <c r="B431">
        <v>5</v>
      </c>
      <c r="C431">
        <v>5</v>
      </c>
      <c r="D431">
        <v>5</v>
      </c>
    </row>
    <row r="432" spans="1:4" x14ac:dyDescent="0.25">
      <c r="A432" s="14" t="s">
        <v>1143</v>
      </c>
      <c r="B432">
        <v>5</v>
      </c>
      <c r="C432">
        <v>5</v>
      </c>
      <c r="D432">
        <v>5</v>
      </c>
    </row>
    <row r="433" spans="1:4" x14ac:dyDescent="0.25">
      <c r="A433" s="15" t="s">
        <v>1144</v>
      </c>
      <c r="B433">
        <v>1</v>
      </c>
      <c r="C433">
        <v>1</v>
      </c>
      <c r="D433">
        <v>1</v>
      </c>
    </row>
    <row r="434" spans="1:4" x14ac:dyDescent="0.25">
      <c r="A434" s="15" t="s">
        <v>1554</v>
      </c>
      <c r="B434">
        <v>4</v>
      </c>
      <c r="C434">
        <v>4</v>
      </c>
      <c r="D434">
        <v>4</v>
      </c>
    </row>
    <row r="435" spans="1:4" x14ac:dyDescent="0.25">
      <c r="A435" s="11" t="s">
        <v>983</v>
      </c>
      <c r="B435">
        <v>4</v>
      </c>
      <c r="C435">
        <v>4</v>
      </c>
      <c r="D435">
        <v>4</v>
      </c>
    </row>
    <row r="436" spans="1:4" x14ac:dyDescent="0.25">
      <c r="A436" s="14" t="s">
        <v>1586</v>
      </c>
      <c r="B436">
        <v>1</v>
      </c>
      <c r="C436">
        <v>1</v>
      </c>
      <c r="D436">
        <v>1</v>
      </c>
    </row>
    <row r="437" spans="1:4" x14ac:dyDescent="0.25">
      <c r="A437" s="15" t="s">
        <v>1587</v>
      </c>
      <c r="B437">
        <v>1</v>
      </c>
      <c r="C437">
        <v>1</v>
      </c>
      <c r="D437">
        <v>1</v>
      </c>
    </row>
    <row r="438" spans="1:4" x14ac:dyDescent="0.25">
      <c r="A438" s="14" t="s">
        <v>984</v>
      </c>
      <c r="B438">
        <v>3</v>
      </c>
      <c r="C438">
        <v>3</v>
      </c>
      <c r="D438">
        <v>3</v>
      </c>
    </row>
    <row r="439" spans="1:4" x14ac:dyDescent="0.25">
      <c r="A439" s="15" t="s">
        <v>985</v>
      </c>
      <c r="B439">
        <v>3</v>
      </c>
      <c r="C439">
        <v>3</v>
      </c>
      <c r="D439">
        <v>3</v>
      </c>
    </row>
    <row r="440" spans="1:4" x14ac:dyDescent="0.25">
      <c r="A440" s="7" t="s">
        <v>1818</v>
      </c>
      <c r="B440">
        <v>47</v>
      </c>
      <c r="C440">
        <v>47</v>
      </c>
      <c r="D440">
        <v>47</v>
      </c>
    </row>
    <row r="441" spans="1:4" x14ac:dyDescent="0.25">
      <c r="A441" s="10" t="s">
        <v>1818</v>
      </c>
      <c r="B441">
        <v>47</v>
      </c>
      <c r="C441">
        <v>47</v>
      </c>
      <c r="D441">
        <v>47</v>
      </c>
    </row>
    <row r="442" spans="1:4" x14ac:dyDescent="0.25">
      <c r="A442" s="11" t="s">
        <v>1818</v>
      </c>
      <c r="B442">
        <v>47</v>
      </c>
      <c r="C442">
        <v>47</v>
      </c>
      <c r="D442">
        <v>47</v>
      </c>
    </row>
    <row r="443" spans="1:4" x14ac:dyDescent="0.25">
      <c r="A443" s="14" t="s">
        <v>1818</v>
      </c>
      <c r="B443">
        <v>47</v>
      </c>
      <c r="C443">
        <v>47</v>
      </c>
      <c r="D443">
        <v>47</v>
      </c>
    </row>
    <row r="444" spans="1:4" x14ac:dyDescent="0.25">
      <c r="A444" s="15" t="s">
        <v>1818</v>
      </c>
      <c r="B444">
        <v>47</v>
      </c>
      <c r="C444">
        <v>47</v>
      </c>
      <c r="D444">
        <v>47</v>
      </c>
    </row>
    <row r="445" spans="1:4" x14ac:dyDescent="0.25">
      <c r="A445" s="7" t="s">
        <v>1823</v>
      </c>
    </row>
    <row r="446" spans="1:4" x14ac:dyDescent="0.25">
      <c r="A446" s="10" t="s">
        <v>1823</v>
      </c>
    </row>
    <row r="447" spans="1:4" x14ac:dyDescent="0.25">
      <c r="A447" s="11" t="s">
        <v>1823</v>
      </c>
    </row>
    <row r="448" spans="1:4" x14ac:dyDescent="0.25">
      <c r="A448" s="14" t="s">
        <v>1823</v>
      </c>
    </row>
    <row r="449" spans="1:4" x14ac:dyDescent="0.25">
      <c r="A449" s="15" t="s">
        <v>1823</v>
      </c>
    </row>
    <row r="450" spans="1:4" x14ac:dyDescent="0.25">
      <c r="A450" s="7" t="s">
        <v>1824</v>
      </c>
      <c r="B450">
        <v>704</v>
      </c>
      <c r="C450">
        <v>704</v>
      </c>
      <c r="D450">
        <v>704</v>
      </c>
    </row>
  </sheetData>
  <sheetProtection password="DA93" sheet="1" objects="1" scenarios="1"/>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DB0F78E-BA09-4DB0-9CD7-3308DE4E35EB}">
  <ds:schemaRefs>
    <ds:schemaRef ds:uri="http://schemas.microsoft.com/DataMashup"/>
  </ds:schemaRefs>
</ds:datastoreItem>
</file>

<file path=docMetadata/LabelInfo.xml><?xml version="1.0" encoding="utf-8"?>
<clbl:labelList xmlns:clbl="http://schemas.microsoft.com/office/2020/mipLabelMetadata">
  <clbl:label id="{72157dbb-e8bd-40dc-8d00-3f08c234ac47}" enabled="0" method="" siteId="{72157dbb-e8bd-40dc-8d00-3f08c234ac4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173</vt:i4>
      </vt:variant>
    </vt:vector>
  </HeadingPairs>
  <TitlesOfParts>
    <vt:vector size="180" baseType="lpstr">
      <vt:lpstr>Notes to use the template</vt:lpstr>
      <vt:lpstr>InformationCategories</vt:lpstr>
      <vt:lpstr>InvaCost</vt:lpstr>
      <vt:lpstr>TAXONOMY</vt:lpstr>
      <vt:lpstr>Terminology</vt:lpstr>
      <vt:lpstr>Lists_Taxonomy</vt:lpstr>
      <vt:lpstr>PivotTableTax</vt:lpstr>
      <vt:lpstr>Accipitriformes</vt:lpstr>
      <vt:lpstr>Actinopterygii</vt:lpstr>
      <vt:lpstr>Aeromonadales</vt:lpstr>
      <vt:lpstr>Agaricomycetes</vt:lpstr>
      <vt:lpstr>Alismatales</vt:lpstr>
      <vt:lpstr>Amphibia</vt:lpstr>
      <vt:lpstr>Animalia</vt:lpstr>
      <vt:lpstr>Annelida</vt:lpstr>
      <vt:lpstr>Anseriformes</vt:lpstr>
      <vt:lpstr>Anura</vt:lpstr>
      <vt:lpstr>Aphelenchida</vt:lpstr>
      <vt:lpstr>Apiales</vt:lpstr>
      <vt:lpstr>Arachnida</vt:lpstr>
      <vt:lpstr>Architaenioglossa</vt:lpstr>
      <vt:lpstr>Arecales</vt:lpstr>
      <vt:lpstr>Arthropoda</vt:lpstr>
      <vt:lpstr>Artiodactyla</vt:lpstr>
      <vt:lpstr>Ascomycota</vt:lpstr>
      <vt:lpstr>Asparagales</vt:lpstr>
      <vt:lpstr>Asterales</vt:lpstr>
      <vt:lpstr>Aves</vt:lpstr>
      <vt:lpstr>Bacillariophyceae</vt:lpstr>
      <vt:lpstr>Bacteria</vt:lpstr>
      <vt:lpstr>Basidiomycota</vt:lpstr>
      <vt:lpstr>Bivalvia</vt:lpstr>
      <vt:lpstr>Blattodea</vt:lpstr>
      <vt:lpstr>Boraginales</vt:lpstr>
      <vt:lpstr>Branchiopoda</vt:lpstr>
      <vt:lpstr>Bryopsidales</vt:lpstr>
      <vt:lpstr>Burkholderiales</vt:lpstr>
      <vt:lpstr>Carnivora</vt:lpstr>
      <vt:lpstr>Caryophyllales</vt:lpstr>
      <vt:lpstr>Cephalaspidomorphi</vt:lpstr>
      <vt:lpstr>Chlorophyta</vt:lpstr>
      <vt:lpstr>Chordata</vt:lpstr>
      <vt:lpstr>Chromista</vt:lpstr>
      <vt:lpstr>Chytridiales</vt:lpstr>
      <vt:lpstr>Chytridiomycetes</vt:lpstr>
      <vt:lpstr>Chytridiomycota</vt:lpstr>
      <vt:lpstr>Coleoptera</vt:lpstr>
      <vt:lpstr>Columbiformes</vt:lpstr>
      <vt:lpstr>Commelinales</vt:lpstr>
      <vt:lpstr>Ctenophora</vt:lpstr>
      <vt:lpstr>Cymbellales</vt:lpstr>
      <vt:lpstr>Cypriniformes</vt:lpstr>
      <vt:lpstr>Cyprinodontiformes</vt:lpstr>
      <vt:lpstr>Decapoda</vt:lpstr>
      <vt:lpstr>Diaporthales</vt:lpstr>
      <vt:lpstr>Dioscoreales</vt:lpstr>
      <vt:lpstr>Diplostraca</vt:lpstr>
      <vt:lpstr>Diprotodontia</vt:lpstr>
      <vt:lpstr>Dipsacales</vt:lpstr>
      <vt:lpstr>Diptera</vt:lpstr>
      <vt:lpstr>Divers\Unspecified</vt:lpstr>
      <vt:lpstr>Diverse</vt:lpstr>
      <vt:lpstr>Diverse\Unspecified</vt:lpstr>
      <vt:lpstr>Diverse_Unspecified</vt:lpstr>
      <vt:lpstr>Dothideomycetes</vt:lpstr>
      <vt:lpstr>Enterobacteriales</vt:lpstr>
      <vt:lpstr>Ericales</vt:lpstr>
      <vt:lpstr>Erinaceomorpha</vt:lpstr>
      <vt:lpstr>Esociformes</vt:lpstr>
      <vt:lpstr>Exobasidiomycetes</vt:lpstr>
      <vt:lpstr>Fabales</vt:lpstr>
      <vt:lpstr>Fagales</vt:lpstr>
      <vt:lpstr>Fungi</vt:lpstr>
      <vt:lpstr>Galliformes</vt:lpstr>
      <vt:lpstr>Gastropoda</vt:lpstr>
      <vt:lpstr>Gentianales</vt:lpstr>
      <vt:lpstr>Geraniales</vt:lpstr>
      <vt:lpstr>Glomerellales</vt:lpstr>
      <vt:lpstr>Gruiformes</vt:lpstr>
      <vt:lpstr>Gyrodactylidea</vt:lpstr>
      <vt:lpstr>Haptophyta</vt:lpstr>
      <vt:lpstr>Helotiales</vt:lpstr>
      <vt:lpstr>Hemiptera</vt:lpstr>
      <vt:lpstr>Hymenoptera</vt:lpstr>
      <vt:lpstr>Hypocreales</vt:lpstr>
      <vt:lpstr>Insecta</vt:lpstr>
      <vt:lpstr>Ixodida</vt:lpstr>
      <vt:lpstr>Kingdom</vt:lpstr>
      <vt:lpstr>Lagomorpha</vt:lpstr>
      <vt:lpstr>Lamiales</vt:lpstr>
      <vt:lpstr>Laminariales</vt:lpstr>
      <vt:lpstr>Laurales</vt:lpstr>
      <vt:lpstr>Leotiomycetes</vt:lpstr>
      <vt:lpstr>Lepidoptera</vt:lpstr>
      <vt:lpstr>Liliopsida</vt:lpstr>
      <vt:lpstr>Lobata</vt:lpstr>
      <vt:lpstr>Magnoliopsida</vt:lpstr>
      <vt:lpstr>Malacostraca</vt:lpstr>
      <vt:lpstr>Malpighiales</vt:lpstr>
      <vt:lpstr>Malvales</vt:lpstr>
      <vt:lpstr>Mammalia</vt:lpstr>
      <vt:lpstr>Maxillopoda</vt:lpstr>
      <vt:lpstr>Mesostigmata</vt:lpstr>
      <vt:lpstr>Microascales</vt:lpstr>
      <vt:lpstr>Mollusca</vt:lpstr>
      <vt:lpstr>Monogenea</vt:lpstr>
      <vt:lpstr>Myida</vt:lpstr>
      <vt:lpstr>Myrtales</vt:lpstr>
      <vt:lpstr>Mytilida</vt:lpstr>
      <vt:lpstr>Nematoda</vt:lpstr>
      <vt:lpstr>Nymphaeales</vt:lpstr>
      <vt:lpstr>Ochrophyta</vt:lpstr>
      <vt:lpstr>Oomycota</vt:lpstr>
      <vt:lpstr>Ophiostomatales</vt:lpstr>
      <vt:lpstr>Orthoptera</vt:lpstr>
      <vt:lpstr>Ostreida</vt:lpstr>
      <vt:lpstr>Oxalidales</vt:lpstr>
      <vt:lpstr>Passeriformes</vt:lpstr>
      <vt:lpstr>Pelecaniformes</vt:lpstr>
      <vt:lpstr>Perciformes</vt:lpstr>
      <vt:lpstr>Perissodactyla</vt:lpstr>
      <vt:lpstr>Peronosporales</vt:lpstr>
      <vt:lpstr>Peronosporea</vt:lpstr>
      <vt:lpstr>Petromyzontiformes</vt:lpstr>
      <vt:lpstr>Phaeophyceae</vt:lpstr>
      <vt:lpstr>Pinales</vt:lpstr>
      <vt:lpstr>Pinopsida</vt:lpstr>
      <vt:lpstr>Piperales</vt:lpstr>
      <vt:lpstr>Plantae</vt:lpstr>
      <vt:lpstr>Platyhelminthes</vt:lpstr>
      <vt:lpstr>Pleosporales</vt:lpstr>
      <vt:lpstr>Poales</vt:lpstr>
      <vt:lpstr>Polychaeta</vt:lpstr>
      <vt:lpstr>Polypodiales</vt:lpstr>
      <vt:lpstr>Polypodiopsida</vt:lpstr>
      <vt:lpstr>Primates</vt:lpstr>
      <vt:lpstr>Prostigmata</vt:lpstr>
      <vt:lpstr>Proteales</vt:lpstr>
      <vt:lpstr>Proteobacteria</vt:lpstr>
      <vt:lpstr>Prymnesiales</vt:lpstr>
      <vt:lpstr>Prymnesiophyceae</vt:lpstr>
      <vt:lpstr>Psittaciformes</vt:lpstr>
      <vt:lpstr>Pucciniales</vt:lpstr>
      <vt:lpstr>Pucciniomycetes</vt:lpstr>
      <vt:lpstr>Ranunculales</vt:lpstr>
      <vt:lpstr>Reptilia</vt:lpstr>
      <vt:lpstr>Rhabditida</vt:lpstr>
      <vt:lpstr>Rodentia</vt:lpstr>
      <vt:lpstr>Rosales</vt:lpstr>
      <vt:lpstr>Russulales</vt:lpstr>
      <vt:lpstr>Sabellida</vt:lpstr>
      <vt:lpstr>Salmoniformes</vt:lpstr>
      <vt:lpstr>Salviniales</vt:lpstr>
      <vt:lpstr>Sapindales</vt:lpstr>
      <vt:lpstr>Saprolegniales</vt:lpstr>
      <vt:lpstr>Saxifragales</vt:lpstr>
      <vt:lpstr>Scorpaeniformes</vt:lpstr>
      <vt:lpstr>Secernentea</vt:lpstr>
      <vt:lpstr>Sessilia</vt:lpstr>
      <vt:lpstr>Siluriformes</vt:lpstr>
      <vt:lpstr>Solanales</vt:lpstr>
      <vt:lpstr>Sordariomycetes</vt:lpstr>
      <vt:lpstr>SpeciesName</vt:lpstr>
      <vt:lpstr>Spirurida</vt:lpstr>
      <vt:lpstr>Squamata</vt:lpstr>
      <vt:lpstr>Stylommatophora</vt:lpstr>
      <vt:lpstr>Testudines</vt:lpstr>
      <vt:lpstr>Tetraodontiformes</vt:lpstr>
      <vt:lpstr>Thysanoptera</vt:lpstr>
      <vt:lpstr>Tilletiales</vt:lpstr>
      <vt:lpstr>Tracheophyta</vt:lpstr>
      <vt:lpstr>Tylenchida</vt:lpstr>
      <vt:lpstr>Ulvophyceae</vt:lpstr>
      <vt:lpstr>Unionida</vt:lpstr>
      <vt:lpstr>Urocystidales</vt:lpstr>
      <vt:lpstr>Ustilaginomycetes</vt:lpstr>
      <vt:lpstr>Venerida</vt:lpstr>
      <vt:lpstr>Xanthomonadales</vt:lpstr>
      <vt:lpstr>Zingiberales</vt:lpstr>
      <vt:lpstr>Zygophyllales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Martha Thallas-lamb</cp:lastModifiedBy>
  <cp:lastPrinted>2026-09-01T02:52:29Z</cp:lastPrinted>
  <dcterms:created xsi:type="dcterms:W3CDTF">2020-02-24T14:16:14Z</dcterms:created>
  <dcterms:modified xsi:type="dcterms:W3CDTF">2026-10-20T22:03:02Z</dcterms:modified>
  <cp:category/>
</cp:coreProperties>
</file>